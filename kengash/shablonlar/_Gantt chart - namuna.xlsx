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" sheetId="1" r:id="rId5"/>
    <sheet state="visible" name="GanttChart" sheetId="2" r:id="rId6"/>
    <sheet state="hidden" name="Copy of GanttChart" sheetId="3" r:id="rId7"/>
    <sheet state="hidden" name="Copy of Copy of GanttChart" sheetId="4" r:id="rId8"/>
  </sheets>
  <definedNames>
    <definedName localSheetId="1" name="prevWBS">GanttChart!$B$1047636</definedName>
    <definedName localSheetId="2" name="prevWBS">'Copy of GanttChart'!$B$1047636</definedName>
    <definedName localSheetId="3" name="prevWBS">'Copy of Copy of GanttChart'!$B$1047609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Predecessor Tasks:
You can use this column to enter the WBS of a predecessor for reference. The PRO version uses formulas to automatically calculate the Start Date based on the Predecessor.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Predecessor Tasks:
You can use this column to enter the WBS of a predecessor for reference. The PRO version uses formulas to automatically calculate the Start Date based on the Predecessor.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Predecessor Tasks:
You can use this column to enter the WBS of a predecessor for reference. The PRO version uses formulas to automatically calculate the Start Date based on the Predecessor.</t>
      </text>
    </comment>
  </commentList>
</comments>
</file>

<file path=xl/sharedStrings.xml><?xml version="1.0" encoding="utf-8"?>
<sst xmlns="http://schemas.openxmlformats.org/spreadsheetml/2006/main" count="341" uniqueCount="105">
  <si>
    <t xml:space="preserve">Gantt chart </t>
  </si>
  <si>
    <t>Nima?</t>
  </si>
  <si>
    <t>Biznesingizning har bir bo'limida qaysi xodimga qanday vazifa yuklatilganini, qancha muddat belgilanganini , berilgan vazifaning qancha qismi bajarilganini ko'rsatib turuvchi instrument.</t>
  </si>
  <si>
    <t>Nima uchun kerak?</t>
  </si>
  <si>
    <t>1. Ishxonaga bormasdan qaysi ishlar to'liq , qisman bajarilganligi, qaysilari belgilangan muddatda bajarilmayotganligi va xodimlarning ish samaradorligini bilib tura olasiz. 
2. Bir kunda bajariladigan ishlar xodimlarning masuliyatsizligi tufayli 2 yoki 3 kunda bajarilishiga chek qo'yish mumkin bo'ladi.</t>
  </si>
  <si>
    <t>Agar foydalanilmasa, qanday muammolar yuzaga kelishi mumkin?</t>
  </si>
  <si>
    <t>1. Ishxonaga borganingizda: xodimlardan qani kim nima ish bilan band , kimga qanday topshiriq berish kerak deb so'raysiz . 
2. Qisqa vaqt ichida bajarilishi mumkin bo'lgan ishlar uzoq vaqtda bajariladi , natijada biznesingiz 1 yilda erishishi mumkin bo'lgan marraga 3 yil vaqt ketishi mumkin.</t>
  </si>
  <si>
    <t>Loyiha boshlanish sanasi</t>
  </si>
  <si>
    <t xml:space="preserve">Boshlanish hafta raqami  </t>
  </si>
  <si>
    <t>Oy 1</t>
  </si>
  <si>
    <t>Oy 2</t>
  </si>
  <si>
    <t>Oy 3</t>
  </si>
  <si>
    <t>Oy 4</t>
  </si>
  <si>
    <t>Oy 5</t>
  </si>
  <si>
    <t>Oy 6</t>
  </si>
  <si>
    <t>Oy 7</t>
  </si>
  <si>
    <t>Oy 8</t>
  </si>
  <si>
    <t>Loyiha boshlanish oyi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</si>
  <si>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</si>
  <si>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</si>
  <si>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</si>
  <si>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</si>
  <si>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</si>
  <si>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</si>
  <si>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</si>
  <si>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</si>
  <si>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Loyihaga javobgar</t>
  </si>
  <si>
    <t>Nodir</t>
  </si>
  <si>
    <t>Abror</t>
  </si>
  <si>
    <t>#</t>
  </si>
  <si>
    <t>Vazifa</t>
  </si>
  <si>
    <t>Mas'ul</t>
  </si>
  <si>
    <t>PREDECESSOR</t>
  </si>
  <si>
    <t>Boshlash</t>
  </si>
  <si>
    <t>Tugash</t>
  </si>
  <si>
    <t>Kunlar</t>
  </si>
  <si>
    <t>Bajarilish</t>
  </si>
  <si>
    <t>Ish kunlari</t>
  </si>
  <si>
    <t>O'quv bo'limi</t>
  </si>
  <si>
    <t>Bo'lim boshlig'i</t>
  </si>
  <si>
    <t>Darslik tayyorlash</t>
  </si>
  <si>
    <t>Dars rejasi</t>
  </si>
  <si>
    <t>Yo'nalish tanlash</t>
  </si>
  <si>
    <t>Dars bazani shakllantirish</t>
  </si>
  <si>
    <t>Online darslarni yo'lga qo'yish</t>
  </si>
  <si>
    <t>Mijoz portreti</t>
  </si>
  <si>
    <t>Probniy darslarni yo'lga qo'yish</t>
  </si>
  <si>
    <t>Ustoz topish</t>
  </si>
  <si>
    <t>Online instruktor tayyorlash</t>
  </si>
  <si>
    <t>Dars yasash</t>
  </si>
  <si>
    <t>Sotuv bo'limi</t>
  </si>
  <si>
    <t>Dars bazasi</t>
  </si>
  <si>
    <t>Sotuv qadamlarini tuzib chiqish</t>
  </si>
  <si>
    <t>Dars o'tishni mashq qilish</t>
  </si>
  <si>
    <t>Xodimlarni yollash va tayyorlash</t>
  </si>
  <si>
    <t>Probniy darslar</t>
  </si>
  <si>
    <t>Sotuv skriptlarini tuzish</t>
  </si>
  <si>
    <t>Guruhlarni to'ldirish</t>
  </si>
  <si>
    <t>B2B sotuvlarni yo'lga qo'yish</t>
  </si>
  <si>
    <t>B2B sotuvchi tayyorlash</t>
  </si>
  <si>
    <t>Marketing bo'limi</t>
  </si>
  <si>
    <t>Sotuv rejasini tuzish</t>
  </si>
  <si>
    <t>Strategik reja tuzish</t>
  </si>
  <si>
    <t>Sotuv qadamlarini aniqlash</t>
  </si>
  <si>
    <t>Kontent reja</t>
  </si>
  <si>
    <t>Sotuv metrikasini tuzish</t>
  </si>
  <si>
    <t>Kontent videolar tayyyorlash</t>
  </si>
  <si>
    <t>Sotuv voronkasini tuzish</t>
  </si>
  <si>
    <t>Videolarni montaj qilish</t>
  </si>
  <si>
    <t>Sotuv hodimlarini yollash</t>
  </si>
  <si>
    <t>Moliya bo'limi</t>
  </si>
  <si>
    <t>Hodimlarga sotuvni o'rgatish</t>
  </si>
  <si>
    <t>Moliyaviy model tuzish</t>
  </si>
  <si>
    <t>Moliyaviy analiz tuzish</t>
  </si>
  <si>
    <t>Skriptlarni mashq qilish</t>
  </si>
  <si>
    <t>Moliyachi tayyorlash</t>
  </si>
  <si>
    <t>HR</t>
  </si>
  <si>
    <t>Yangi lidlarga qo'ng'iroq qilish</t>
  </si>
  <si>
    <t>2.10.</t>
  </si>
  <si>
    <t>Analiz qilish</t>
  </si>
  <si>
    <t>EJM qadamlarini tuzish</t>
  </si>
  <si>
    <t>Lavozim vazifalarini tuzish</t>
  </si>
  <si>
    <t>Xodim yollash</t>
  </si>
  <si>
    <t>Taktik reja tuzish</t>
  </si>
  <si>
    <t>5.10.</t>
  </si>
  <si>
    <t>Xodimlarni tarbiyalash</t>
  </si>
  <si>
    <t>Reklama rejasi</t>
  </si>
  <si>
    <t>Mijoz portretini tuzish</t>
  </si>
  <si>
    <t>Teginish nuqtalarini aniqlash</t>
  </si>
  <si>
    <t>Reklama joylash</t>
  </si>
  <si>
    <t>Tahlil qilish</t>
  </si>
  <si>
    <t>Tannarxni hisoblash</t>
  </si>
  <si>
    <t>Tannarx jadvalini tuzish</t>
  </si>
  <si>
    <t>Zararsizlik nuqtasini aniqlash</t>
  </si>
  <si>
    <t>Cash flow tuzish</t>
  </si>
  <si>
    <t>Pul ajratish</t>
  </si>
  <si>
    <t>4.10.</t>
  </si>
  <si>
    <t>Hisobot topshirish</t>
  </si>
  <si>
    <t>KPI tizimi tuzish</t>
  </si>
  <si>
    <t>Motivatsiya tizimi tuzish</t>
  </si>
  <si>
    <t>Karyera xaritasini tuzish</t>
  </si>
  <si>
    <t>Hodim yollash</t>
  </si>
  <si>
    <t>Hodimni tarbiyalash</t>
  </si>
  <si>
    <t>Nazorat qilish</t>
  </si>
  <si>
    <t>Samaradorlikni tahlil qilish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</si>
</sst>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.mm.yyyy"/>
    <numFmt numFmtId="165" formatCode="dd&quot;.&quot;mm&quot;.&quot;yyyy"/>
    <numFmt numFmtId="166" formatCode="m/d/yyyy"/>
    <numFmt numFmtId="167" formatCode="M/d/yyyy H:mm:ss"/>
    <numFmt numFmtId="168" formatCode="d\ mmm\ yyyy"/>
    <numFmt numFmtId="169" formatCode="d"/>
    <numFmt numFmtId="170" formatCode="d&quot; &quot;mmm&quot; &quot;yyyy"/>
  </numFmts>
  <fonts count="19">
    <font>
      <sz val="10.0"/>
      <color rgb="FF000000"/>
      <name val="Arial"/>
      <scheme val="minor"/>
    </font>
    <font>
      <color theme="1"/>
      <name val="Montserrat"/>
    </font>
    <font>
      <b/>
      <sz val="12.0"/>
      <color rgb="FFFFFFFF"/>
      <name val="Montserrat"/>
    </font>
    <font/>
    <font>
      <sz val="11.0"/>
      <color theme="1"/>
      <name val="Montserrat"/>
    </font>
    <font>
      <b/>
      <color theme="1"/>
      <name val="Montserrat"/>
    </font>
    <font>
      <sz val="10.0"/>
      <color theme="1"/>
      <name val="Montserrat"/>
    </font>
    <font>
      <u/>
      <sz val="10.0"/>
      <color rgb="FF0000FF"/>
      <name val="Montserrat"/>
    </font>
    <font>
      <sz val="10.0"/>
      <color rgb="FFFFFFFF"/>
      <name val="Montserrat"/>
    </font>
    <font>
      <sz val="8.0"/>
      <color theme="1"/>
      <name val="Montserrat"/>
    </font>
    <font>
      <b/>
      <sz val="9.0"/>
      <color theme="1"/>
      <name val="Montserrat"/>
    </font>
    <font>
      <b/>
      <sz val="9.0"/>
      <color rgb="FFFFFFFF"/>
      <name val="Montserrat"/>
    </font>
    <font>
      <b/>
      <sz val="8.0"/>
      <color rgb="FFFFFFFF"/>
      <name val="Montserrat"/>
    </font>
    <font>
      <sz val="9.0"/>
      <color theme="1"/>
      <name val="Montserrat"/>
    </font>
    <font>
      <b/>
      <sz val="11.0"/>
      <color theme="1"/>
      <name val="Montserrat"/>
    </font>
    <font>
      <sz val="14.0"/>
      <color theme="1"/>
      <name val="Montserrat"/>
    </font>
    <font>
      <sz val="9.0"/>
      <color rgb="FF000000"/>
      <name val="Montserrat"/>
    </font>
    <font>
      <sz val="14.0"/>
      <color rgb="FF000000"/>
      <name val="Montserrat"/>
    </font>
    <font>
      <i/>
      <sz val="9.0"/>
      <color theme="1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BDBDBD"/>
        <bgColor rgb="FFBDBDBD"/>
      </patternFill>
    </fill>
    <fill>
      <patternFill patternType="solid">
        <fgColor rgb="FFD8D8D8"/>
        <bgColor rgb="FFD8D8D8"/>
      </patternFill>
    </fill>
    <fill>
      <patternFill patternType="solid">
        <fgColor rgb="FFD3EBD4"/>
        <bgColor rgb="FFD3EBD4"/>
      </patternFill>
    </fill>
  </fills>
  <borders count="53">
    <border/>
    <border>
      <left style="medium">
        <color rgb="FF0000FF"/>
      </left>
      <top style="medium">
        <color rgb="FF0000FF"/>
      </top>
      <bottom style="thin">
        <color rgb="FF0000FF"/>
      </bottom>
    </border>
    <border>
      <top style="medium">
        <color rgb="FF0000FF"/>
      </top>
      <bottom style="thin">
        <color rgb="FF0000FF"/>
      </bottom>
    </border>
    <border>
      <right style="medium">
        <color rgb="FF0000FF"/>
      </right>
      <top style="medium">
        <color rgb="FF0000FF"/>
      </top>
      <bottom style="thin">
        <color rgb="FF0000FF"/>
      </bottom>
    </border>
    <border>
      <left style="medium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  <top style="thin">
        <color rgb="FF0000FF"/>
      </top>
    </border>
    <border>
      <top style="thin">
        <color rgb="FF0000FF"/>
      </top>
    </border>
    <border>
      <right style="medium">
        <color rgb="FF0000FF"/>
      </right>
      <top style="thin">
        <color rgb="FF0000FF"/>
      </top>
    </border>
    <border>
      <left/>
      <right/>
      <top/>
    </border>
    <border>
      <left style="medium">
        <color rgb="FF0000FF"/>
      </left>
    </border>
    <border>
      <right style="thin">
        <color rgb="FF0000FF"/>
      </right>
    </border>
    <border>
      <left style="thin">
        <color rgb="FF0000FF"/>
      </left>
    </border>
    <border>
      <right style="medium">
        <color rgb="FF0000FF"/>
      </right>
    </border>
    <border>
      <left style="medium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0000FF"/>
      </left>
      <bottom style="thin">
        <color rgb="FF0000FF"/>
      </bottom>
    </border>
    <border>
      <bottom style="thin">
        <color rgb="FF0000FF"/>
      </bottom>
    </border>
    <border>
      <right style="medium">
        <color rgb="FF0000FF"/>
      </right>
      <bottom style="thin">
        <color rgb="FF0000FF"/>
      </bottom>
    </border>
    <border>
      <left style="medium">
        <color rgb="FF0000FF"/>
      </left>
      <bottom style="medium">
        <color rgb="FF0000FF"/>
      </bottom>
    </border>
    <border>
      <right style="thin">
        <color rgb="FF0000FF"/>
      </right>
      <bottom style="medium">
        <color rgb="FF0000FF"/>
      </bottom>
    </border>
    <border>
      <left style="thin">
        <color rgb="FF0000FF"/>
      </left>
      <bottom style="medium">
        <color rgb="FF0000FF"/>
      </bottom>
    </border>
    <border>
      <bottom style="medium">
        <color rgb="FF0000FF"/>
      </bottom>
    </border>
    <border>
      <right style="medium">
        <color rgb="FF0000FF"/>
      </right>
      <bottom style="medium">
        <color rgb="FF0000FF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thin">
        <color rgb="FFBFBFBF"/>
      </bottom>
    </border>
    <border>
      <left style="medium">
        <color rgb="FFBFBFBF"/>
      </left>
      <top style="medium">
        <color rgb="FF000000"/>
      </top>
    </border>
    <border>
      <right style="medium">
        <color rgb="FFBFBFBF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BFBFBF"/>
      </top>
      <bottom style="thin">
        <color rgb="FFBFBFBF"/>
      </bottom>
    </border>
    <border>
      <left style="medium">
        <color rgb="FFBFBFBF"/>
      </left>
    </border>
    <border>
      <right style="medium">
        <color rgb="FFBFBFBF"/>
      </right>
    </border>
    <border>
      <right style="medium">
        <color rgb="FF000000"/>
      </right>
    </border>
    <border>
      <left style="medium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medium">
        <color rgb="FFBFBFBF"/>
      </right>
    </border>
    <border>
      <left style="thin">
        <color rgb="FFBFBFBF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EAEAEA"/>
      </bottom>
    </border>
    <border>
      <left/>
      <right/>
      <top style="medium">
        <color rgb="FF000000"/>
      </top>
      <bottom style="thin">
        <color rgb="FFEAEAEA"/>
      </bottom>
    </border>
    <border>
      <left/>
      <right style="medium">
        <color rgb="FF000000"/>
      </right>
      <top style="medium">
        <color rgb="FF000000"/>
      </top>
      <bottom style="thin">
        <color rgb="FFEAEAEA"/>
      </bottom>
    </border>
    <border>
      <left style="medium">
        <color rgb="FF000000"/>
      </left>
      <top style="thin">
        <color rgb="FFEAEAEA"/>
      </top>
      <bottom style="thin">
        <color rgb="FFEAEAEA"/>
      </bottom>
    </border>
    <border>
      <top style="thin">
        <color rgb="FFEAEAEA"/>
      </top>
      <bottom style="thin">
        <color rgb="FFEAEAEA"/>
      </bottom>
    </border>
    <border>
      <left/>
      <right/>
      <top style="thin">
        <color rgb="FFEAEAEA"/>
      </top>
      <bottom style="thin">
        <color rgb="FFEAEAEA"/>
      </bottom>
    </border>
    <border>
      <right style="medium">
        <color rgb="FF000000"/>
      </right>
      <top style="thin">
        <color rgb="FFEAEAEA"/>
      </top>
      <bottom style="thin">
        <color rgb="FFEAEAEA"/>
      </bottom>
    </border>
    <border>
      <left style="medium">
        <color rgb="FF000000"/>
      </left>
      <right/>
      <top style="thin">
        <color rgb="FFEAEAEA"/>
      </top>
      <bottom style="thin">
        <color rgb="FFEAEAEA"/>
      </bottom>
    </border>
    <border>
      <left/>
      <right style="medium">
        <color rgb="FF000000"/>
      </right>
      <top style="thin">
        <color rgb="FFEAEAEA"/>
      </top>
      <bottom style="thin">
        <color rgb="FFEAEAEA"/>
      </bottom>
    </border>
    <border>
      <left style="medium">
        <color rgb="FF000000"/>
      </left>
      <top style="thin">
        <color rgb="FFEAEAEA"/>
      </top>
      <bottom style="medium">
        <color rgb="FF000000"/>
      </bottom>
    </border>
    <border>
      <top style="thin">
        <color rgb="FFEAEAEA"/>
      </top>
      <bottom style="medium">
        <color rgb="FF000000"/>
      </bottom>
    </border>
    <border>
      <left/>
      <right/>
      <top style="thin">
        <color rgb="FFEAEAEA"/>
      </top>
      <bottom style="medium">
        <color rgb="FF000000"/>
      </bottom>
    </border>
    <border>
      <right style="medium">
        <color rgb="FF000000"/>
      </right>
      <top style="thin">
        <color rgb="FFEAEAEA"/>
      </top>
      <bottom style="medium">
        <color rgb="FF000000"/>
      </bottom>
    </border>
    <border>
      <bottom style="thin">
        <color rgb="FFEAEAEA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3" fontId="4" numFmtId="0" xfId="0" applyAlignment="1" applyFill="1" applyFont="1">
      <alignment vertical="center"/>
    </xf>
    <xf borderId="4" fillId="3" fontId="5" numFmtId="0" xfId="0" applyAlignment="1" applyBorder="1" applyFont="1">
      <alignment horizontal="left" readingOrder="0" vertical="center"/>
    </xf>
    <xf borderId="0" fillId="0" fontId="4" numFmtId="0" xfId="0" applyAlignment="1" applyFont="1">
      <alignment vertical="center"/>
    </xf>
    <xf borderId="5" fillId="0" fontId="3" numFmtId="0" xfId="0" applyBorder="1" applyFont="1"/>
    <xf borderId="0" fillId="0" fontId="6" numFmtId="0" xfId="0" applyFont="1"/>
    <xf borderId="6" fillId="3" fontId="1" numFmtId="0" xfId="0" applyAlignment="1" applyBorder="1" applyFont="1">
      <alignment horizontal="left" readingOrder="0" shrinkToFit="0" vertical="center" wrapText="1"/>
    </xf>
    <xf borderId="7" fillId="0" fontId="3" numFmtId="0" xfId="0" applyBorder="1" applyFont="1"/>
    <xf borderId="0" fillId="0" fontId="6" numFmtId="164" xfId="0" applyFont="1" applyNumberFormat="1"/>
    <xf borderId="8" fillId="0" fontId="3" numFmtId="0" xfId="0" applyBorder="1" applyFont="1"/>
    <xf borderId="9" fillId="3" fontId="6" numFmtId="3" xfId="0" applyBorder="1" applyFont="1" applyNumberFormat="1"/>
    <xf borderId="10" fillId="0" fontId="3" numFmtId="0" xfId="0" applyBorder="1" applyFont="1"/>
    <xf borderId="11" fillId="0" fontId="3" numFmtId="0" xfId="0" applyBorder="1" applyFont="1"/>
    <xf borderId="0" fillId="0" fontId="7" numFmtId="0" xfId="0" applyAlignment="1" applyFont="1">
      <alignment horizontal="left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4" fillId="3" fontId="5" numFmtId="0" xfId="0" applyAlignment="1" applyBorder="1" applyFont="1">
      <alignment horizontal="left"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0" fillId="3" fontId="6" numFmtId="0" xfId="0" applyFont="1"/>
    <xf borderId="23" fillId="0" fontId="3" numFmtId="0" xfId="0" applyBorder="1" applyFont="1"/>
    <xf borderId="24" fillId="4" fontId="8" numFmtId="0" xfId="0" applyBorder="1" applyFill="1" applyFont="1"/>
    <xf borderId="25" fillId="4" fontId="8" numFmtId="0" xfId="0" applyAlignment="1" applyBorder="1" applyFont="1">
      <alignment horizontal="right" readingOrder="0" vertical="center"/>
    </xf>
    <xf borderId="26" fillId="4" fontId="8" numFmtId="165" xfId="0" applyAlignment="1" applyBorder="1" applyFont="1" applyNumberFormat="1">
      <alignment horizontal="center" readingOrder="0" shrinkToFit="1" vertical="center" wrapText="0"/>
    </xf>
    <xf borderId="26" fillId="0" fontId="3" numFmtId="0" xfId="0" applyBorder="1" applyFont="1"/>
    <xf borderId="25" fillId="4" fontId="8" numFmtId="164" xfId="0" applyBorder="1" applyFont="1" applyNumberFormat="1"/>
    <xf borderId="25" fillId="4" fontId="8" numFmtId="0" xfId="0" applyAlignment="1" applyBorder="1" applyFont="1">
      <alignment horizontal="right" vertical="center"/>
    </xf>
    <xf borderId="26" fillId="4" fontId="8" numFmtId="3" xfId="0" applyAlignment="1" applyBorder="1" applyFont="1" applyNumberFormat="1">
      <alignment horizontal="center" readingOrder="0" shrinkToFit="1" vertical="center" wrapText="0"/>
    </xf>
    <xf borderId="26" fillId="4" fontId="8" numFmtId="166" xfId="0" applyAlignment="1" applyBorder="1" applyFont="1" applyNumberFormat="1">
      <alignment horizontal="center" readingOrder="0" shrinkToFit="1" vertical="center" wrapText="0"/>
    </xf>
    <xf borderId="27" fillId="0" fontId="4" numFmtId="0" xfId="0" applyAlignment="1" applyBorder="1" applyFont="1">
      <alignment horizontal="center" readingOrder="0" vertical="center"/>
    </xf>
    <xf borderId="25" fillId="0" fontId="3" numFmtId="0" xfId="0" applyBorder="1" applyFont="1"/>
    <xf borderId="27" fillId="0" fontId="4" numFmtId="0" xfId="0" applyAlignment="1" applyBorder="1" applyFont="1">
      <alignment horizontal="center" vertical="center"/>
    </xf>
    <xf borderId="28" fillId="0" fontId="3" numFmtId="0" xfId="0" applyBorder="1" applyFont="1"/>
    <xf borderId="29" fillId="0" fontId="3" numFmtId="0" xfId="0" applyBorder="1" applyFont="1"/>
    <xf borderId="0" fillId="3" fontId="4" numFmtId="0" xfId="0" applyAlignment="1" applyFont="1">
      <alignment horizontal="center" vertical="center"/>
    </xf>
    <xf borderId="30" fillId="4" fontId="8" numFmtId="0" xfId="0" applyBorder="1" applyFont="1"/>
    <xf borderId="0" fillId="4" fontId="8" numFmtId="0" xfId="0" applyAlignment="1" applyFont="1">
      <alignment horizontal="right" readingOrder="0" vertical="center"/>
    </xf>
    <xf borderId="31" fillId="4" fontId="8" numFmtId="0" xfId="0" applyAlignment="1" applyBorder="1" applyFont="1">
      <alignment horizontal="center" readingOrder="0" shrinkToFit="1" vertical="center" wrapText="0"/>
    </xf>
    <xf borderId="31" fillId="0" fontId="3" numFmtId="0" xfId="0" applyBorder="1" applyFont="1"/>
    <xf borderId="0" fillId="4" fontId="8" numFmtId="164" xfId="0" applyFont="1" applyNumberFormat="1"/>
    <xf borderId="0" fillId="4" fontId="8" numFmtId="0" xfId="0" applyFont="1"/>
    <xf borderId="0" fillId="4" fontId="8" numFmtId="167" xfId="0" applyFont="1" applyNumberFormat="1"/>
    <xf borderId="32" fillId="0" fontId="6" numFmtId="0" xfId="0" applyAlignment="1" applyBorder="1" applyFont="1">
      <alignment horizontal="center" readingOrder="0" vertical="center"/>
    </xf>
    <xf borderId="33" fillId="0" fontId="3" numFmtId="0" xfId="0" applyBorder="1" applyFont="1"/>
    <xf borderId="34" fillId="0" fontId="3" numFmtId="0" xfId="0" applyBorder="1" applyFont="1"/>
    <xf borderId="0" fillId="3" fontId="6" numFmtId="168" xfId="0" applyAlignment="1" applyFont="1" applyNumberFormat="1">
      <alignment horizontal="center" vertical="center"/>
    </xf>
    <xf borderId="0" fillId="4" fontId="8" numFmtId="0" xfId="0" applyAlignment="1" applyFont="1">
      <alignment horizontal="right" vertical="center"/>
    </xf>
    <xf borderId="31" fillId="5" fontId="3" numFmtId="0" xfId="0" applyBorder="1" applyFill="1" applyFont="1"/>
    <xf borderId="0" fillId="4" fontId="8" numFmtId="3" xfId="0" applyFont="1" applyNumberFormat="1"/>
    <xf borderId="35" fillId="0" fontId="9" numFmtId="169" xfId="0" applyAlignment="1" applyBorder="1" applyFont="1" applyNumberFormat="1">
      <alignment horizontal="center" shrinkToFit="1" vertical="center" wrapText="0"/>
    </xf>
    <xf borderId="36" fillId="0" fontId="9" numFmtId="169" xfId="0" applyAlignment="1" applyBorder="1" applyFont="1" applyNumberFormat="1">
      <alignment horizontal="center" shrinkToFit="1" vertical="center" wrapText="0"/>
    </xf>
    <xf borderId="32" fillId="0" fontId="6" numFmtId="168" xfId="0" applyAlignment="1" applyBorder="1" applyFont="1" applyNumberFormat="1">
      <alignment horizontal="center" vertical="center"/>
    </xf>
    <xf borderId="37" fillId="0" fontId="9" numFmtId="169" xfId="0" applyAlignment="1" applyBorder="1" applyFont="1" applyNumberFormat="1">
      <alignment horizontal="center" shrinkToFit="1" vertical="center" wrapText="0"/>
    </xf>
    <xf borderId="38" fillId="0" fontId="9" numFmtId="169" xfId="0" applyAlignment="1" applyBorder="1" applyFont="1" applyNumberFormat="1">
      <alignment horizontal="center" shrinkToFit="1" vertical="center" wrapText="0"/>
    </xf>
    <xf borderId="0" fillId="3" fontId="9" numFmtId="169" xfId="0" applyAlignment="1" applyFont="1" applyNumberFormat="1">
      <alignment horizontal="center" shrinkToFit="1" vertical="center" wrapText="0"/>
    </xf>
    <xf borderId="0" fillId="3" fontId="10" numFmtId="0" xfId="0" applyAlignment="1" applyFont="1">
      <alignment horizontal="left" readingOrder="0" vertical="center"/>
    </xf>
    <xf borderId="30" fillId="4" fontId="11" numFmtId="0" xfId="0" applyAlignment="1" applyBorder="1" applyFont="1">
      <alignment horizontal="left" readingOrder="0" vertical="center"/>
    </xf>
    <xf borderId="0" fillId="4" fontId="11" numFmtId="0" xfId="0" applyAlignment="1" applyFont="1">
      <alignment horizontal="left" readingOrder="0" vertical="center"/>
    </xf>
    <xf borderId="0" fillId="4" fontId="11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center" shrinkToFit="0" vertical="center" wrapText="1"/>
    </xf>
    <xf borderId="0" fillId="4" fontId="11" numFmtId="0" xfId="0" applyAlignment="1" applyFont="1">
      <alignment horizontal="center" readingOrder="0" vertical="center"/>
    </xf>
    <xf borderId="0" fillId="4" fontId="11" numFmtId="3" xfId="0" applyAlignment="1" applyFont="1" applyNumberFormat="1">
      <alignment horizontal="center" readingOrder="0" shrinkToFit="0" vertical="center" wrapText="1"/>
    </xf>
    <xf borderId="0" fillId="4" fontId="11" numFmtId="0" xfId="0" applyAlignment="1" applyFont="1">
      <alignment horizontal="center" shrinkToFit="0" vertical="center" wrapText="1"/>
    </xf>
    <xf borderId="35" fillId="0" fontId="13" numFmtId="0" xfId="0" applyAlignment="1" applyBorder="1" applyFont="1">
      <alignment horizontal="center" shrinkToFit="1" vertical="center" wrapText="0"/>
    </xf>
    <xf borderId="36" fillId="0" fontId="13" numFmtId="0" xfId="0" applyAlignment="1" applyBorder="1" applyFont="1">
      <alignment horizontal="center" shrinkToFit="1" vertical="center" wrapText="0"/>
    </xf>
    <xf borderId="37" fillId="0" fontId="13" numFmtId="0" xfId="0" applyAlignment="1" applyBorder="1" applyFont="1">
      <alignment horizontal="center" shrinkToFit="1" vertical="center" wrapText="0"/>
    </xf>
    <xf borderId="38" fillId="0" fontId="13" numFmtId="0" xfId="0" applyAlignment="1" applyBorder="1" applyFont="1">
      <alignment horizontal="center" shrinkToFit="1" vertical="center" wrapText="0"/>
    </xf>
    <xf borderId="0" fillId="3" fontId="13" numFmtId="0" xfId="0" applyAlignment="1" applyFont="1">
      <alignment horizontal="center" shrinkToFit="1" vertical="center" wrapText="0"/>
    </xf>
    <xf borderId="0" fillId="3" fontId="14" numFmtId="0" xfId="0" applyAlignment="1" applyFont="1">
      <alignment horizontal="left" vertical="center"/>
    </xf>
    <xf borderId="39" fillId="6" fontId="14" numFmtId="0" xfId="0" applyAlignment="1" applyBorder="1" applyFill="1" applyFont="1">
      <alignment horizontal="left" vertical="center"/>
    </xf>
    <xf borderId="40" fillId="6" fontId="14" numFmtId="0" xfId="0" applyAlignment="1" applyBorder="1" applyFont="1">
      <alignment readingOrder="0" vertical="center"/>
    </xf>
    <xf borderId="40" fillId="6" fontId="13" numFmtId="0" xfId="0" applyAlignment="1" applyBorder="1" applyFont="1">
      <alignment readingOrder="0" vertical="center"/>
    </xf>
    <xf borderId="40" fillId="6" fontId="13" numFmtId="0" xfId="0" applyAlignment="1" applyBorder="1" applyFont="1">
      <alignment horizontal="center" vertical="center"/>
    </xf>
    <xf borderId="40" fillId="6" fontId="13" numFmtId="170" xfId="0" applyAlignment="1" applyBorder="1" applyFont="1" applyNumberFormat="1">
      <alignment horizontal="center" vertical="center"/>
    </xf>
    <xf borderId="40" fillId="6" fontId="13" numFmtId="1" xfId="0" applyAlignment="1" applyBorder="1" applyFont="1" applyNumberFormat="1">
      <alignment horizontal="center" vertical="center"/>
    </xf>
    <xf borderId="40" fillId="6" fontId="13" numFmtId="3" xfId="0" applyAlignment="1" applyBorder="1" applyFont="1" applyNumberFormat="1">
      <alignment horizontal="center" vertical="center"/>
    </xf>
    <xf borderId="40" fillId="6" fontId="15" numFmtId="1" xfId="0" applyAlignment="1" applyBorder="1" applyFont="1" applyNumberFormat="1">
      <alignment horizontal="center" vertical="center"/>
    </xf>
    <xf borderId="40" fillId="6" fontId="13" numFmtId="0" xfId="0" applyAlignment="1" applyBorder="1" applyFont="1">
      <alignment horizontal="left" vertical="center"/>
    </xf>
    <xf borderId="41" fillId="6" fontId="13" numFmtId="0" xfId="0" applyAlignment="1" applyBorder="1" applyFont="1">
      <alignment horizontal="left" vertical="center"/>
    </xf>
    <xf borderId="0" fillId="3" fontId="13" numFmtId="0" xfId="0" applyAlignment="1" applyFont="1">
      <alignment horizontal="left" vertical="center"/>
    </xf>
    <xf borderId="0" fillId="3" fontId="13" numFmtId="0" xfId="0" applyAlignment="1" applyFont="1">
      <alignment horizontal="left" readingOrder="0" vertical="center"/>
    </xf>
    <xf borderId="42" fillId="0" fontId="13" numFmtId="0" xfId="0" applyAlignment="1" applyBorder="1" applyFont="1">
      <alignment horizontal="left" readingOrder="0" vertical="center"/>
    </xf>
    <xf borderId="43" fillId="0" fontId="13" numFmtId="0" xfId="0" applyAlignment="1" applyBorder="1" applyFont="1">
      <alignment readingOrder="0" shrinkToFit="0" vertical="center" wrapText="1"/>
    </xf>
    <xf borderId="43" fillId="0" fontId="13" numFmtId="0" xfId="0" applyAlignment="1" applyBorder="1" applyFont="1">
      <alignment readingOrder="0" vertical="center"/>
    </xf>
    <xf borderId="43" fillId="0" fontId="16" numFmtId="0" xfId="0" applyAlignment="1" applyBorder="1" applyFont="1">
      <alignment horizontal="center" vertical="center"/>
    </xf>
    <xf borderId="44" fillId="7" fontId="16" numFmtId="164" xfId="0" applyAlignment="1" applyBorder="1" applyFill="1" applyFont="1" applyNumberFormat="1">
      <alignment horizontal="center" readingOrder="0" vertical="center"/>
    </xf>
    <xf borderId="40" fillId="6" fontId="13" numFmtId="164" xfId="0" applyAlignment="1" applyBorder="1" applyFont="1" applyNumberFormat="1">
      <alignment horizontal="right" vertical="center"/>
    </xf>
    <xf borderId="40" fillId="6" fontId="13" numFmtId="164" xfId="0" applyAlignment="1" applyBorder="1" applyFont="1" applyNumberFormat="1">
      <alignment horizontal="center" vertical="center"/>
    </xf>
    <xf borderId="43" fillId="0" fontId="16" numFmtId="164" xfId="0" applyAlignment="1" applyBorder="1" applyFont="1" applyNumberFormat="1">
      <alignment horizontal="center" vertical="center"/>
    </xf>
    <xf borderId="44" fillId="7" fontId="16" numFmtId="1" xfId="0" applyAlignment="1" applyBorder="1" applyFont="1" applyNumberFormat="1">
      <alignment horizontal="center" readingOrder="0" vertical="center"/>
    </xf>
    <xf borderId="44" fillId="7" fontId="16" numFmtId="9" xfId="0" applyAlignment="1" applyBorder="1" applyFont="1" applyNumberFormat="1">
      <alignment horizontal="center" readingOrder="0" vertical="center"/>
    </xf>
    <xf borderId="43" fillId="0" fontId="16" numFmtId="1" xfId="0" applyAlignment="1" applyBorder="1" applyFont="1" applyNumberFormat="1">
      <alignment horizontal="center" vertical="center"/>
    </xf>
    <xf borderId="43" fillId="0" fontId="17" numFmtId="1" xfId="0" applyAlignment="1" applyBorder="1" applyFont="1" applyNumberFormat="1">
      <alignment horizontal="center" vertical="center"/>
    </xf>
    <xf borderId="43" fillId="0" fontId="13" numFmtId="0" xfId="0" applyAlignment="1" applyBorder="1" applyFont="1">
      <alignment horizontal="left" vertical="center"/>
    </xf>
    <xf borderId="45" fillId="0" fontId="13" numFmtId="0" xfId="0" applyAlignment="1" applyBorder="1" applyFont="1">
      <alignment horizontal="left" vertical="center"/>
    </xf>
    <xf borderId="43" fillId="0" fontId="13" numFmtId="0" xfId="0" applyAlignment="1" applyBorder="1" applyFont="1">
      <alignment horizontal="left" readingOrder="0" shrinkToFit="0" vertical="center" wrapText="1"/>
    </xf>
    <xf borderId="43" fillId="0" fontId="13" numFmtId="0" xfId="0" applyAlignment="1" applyBorder="1" applyFont="1">
      <alignment shrinkToFit="0" vertical="center" wrapText="1"/>
    </xf>
    <xf borderId="44" fillId="7" fontId="16" numFmtId="164" xfId="0" applyAlignment="1" applyBorder="1" applyFont="1" applyNumberFormat="1">
      <alignment horizontal="center" vertical="center"/>
    </xf>
    <xf borderId="43" fillId="0" fontId="13" numFmtId="9" xfId="0" applyAlignment="1" applyBorder="1" applyFont="1" applyNumberFormat="1">
      <alignment horizontal="left" vertical="center"/>
    </xf>
    <xf borderId="0" fillId="3" fontId="14" numFmtId="0" xfId="0" applyAlignment="1" applyFont="1">
      <alignment horizontal="left" readingOrder="0" vertical="center"/>
    </xf>
    <xf borderId="46" fillId="6" fontId="14" numFmtId="0" xfId="0" applyAlignment="1" applyBorder="1" applyFont="1">
      <alignment horizontal="left" readingOrder="0" vertical="center"/>
    </xf>
    <xf borderId="44" fillId="6" fontId="14" numFmtId="0" xfId="0" applyAlignment="1" applyBorder="1" applyFont="1">
      <alignment readingOrder="0" vertical="center"/>
    </xf>
    <xf borderId="44" fillId="6" fontId="13" numFmtId="0" xfId="0" applyAlignment="1" applyBorder="1" applyFont="1">
      <alignment readingOrder="0" vertical="center"/>
    </xf>
    <xf borderId="44" fillId="6" fontId="13" numFmtId="0" xfId="0" applyAlignment="1" applyBorder="1" applyFont="1">
      <alignment horizontal="center" vertical="center"/>
    </xf>
    <xf borderId="44" fillId="6" fontId="13" numFmtId="170" xfId="0" applyAlignment="1" applyBorder="1" applyFont="1" applyNumberFormat="1">
      <alignment horizontal="center" readingOrder="0" vertical="center"/>
    </xf>
    <xf borderId="44" fillId="6" fontId="13" numFmtId="1" xfId="0" applyAlignment="1" applyBorder="1" applyFont="1" applyNumberFormat="1">
      <alignment horizontal="center" vertical="center"/>
    </xf>
    <xf borderId="44" fillId="6" fontId="13" numFmtId="9" xfId="0" applyAlignment="1" applyBorder="1" applyFont="1" applyNumberFormat="1">
      <alignment horizontal="center" vertical="center"/>
    </xf>
    <xf borderId="44" fillId="6" fontId="15" numFmtId="1" xfId="0" applyAlignment="1" applyBorder="1" applyFont="1" applyNumberFormat="1">
      <alignment horizontal="center" vertical="center"/>
    </xf>
    <xf borderId="44" fillId="6" fontId="13" numFmtId="0" xfId="0" applyAlignment="1" applyBorder="1" applyFont="1">
      <alignment horizontal="left" vertical="center"/>
    </xf>
    <xf borderId="47" fillId="6" fontId="13" numFmtId="0" xfId="0" applyAlignment="1" applyBorder="1" applyFont="1">
      <alignment horizontal="left" vertical="center"/>
    </xf>
    <xf borderId="43" fillId="0" fontId="13" numFmtId="0" xfId="0" applyAlignment="1" applyBorder="1" applyFont="1">
      <alignment readingOrder="0"/>
    </xf>
    <xf borderId="44" fillId="7" fontId="16" numFmtId="1" xfId="0" applyAlignment="1" applyBorder="1" applyFont="1" applyNumberFormat="1">
      <alignment horizontal="center" vertical="center"/>
    </xf>
    <xf borderId="44" fillId="7" fontId="16" numFmtId="9" xfId="0" applyAlignment="1" applyBorder="1" applyFont="1" applyNumberFormat="1">
      <alignment horizontal="center" vertical="center"/>
    </xf>
    <xf borderId="43" fillId="0" fontId="13" numFmtId="0" xfId="0" applyBorder="1" applyFont="1"/>
    <xf borderId="44" fillId="6" fontId="13" numFmtId="164" xfId="0" applyAlignment="1" applyBorder="1" applyFont="1" applyNumberFormat="1">
      <alignment horizontal="center" vertical="center"/>
    </xf>
    <xf borderId="43" fillId="0" fontId="13" numFmtId="0" xfId="0" applyBorder="1" applyFont="1"/>
    <xf borderId="43" fillId="7" fontId="16" numFmtId="9" xfId="0" applyAlignment="1" applyBorder="1" applyFont="1" applyNumberFormat="1">
      <alignment horizontal="center" readingOrder="0" vertical="center"/>
    </xf>
    <xf borderId="48" fillId="0" fontId="13" numFmtId="0" xfId="0" applyAlignment="1" applyBorder="1" applyFont="1">
      <alignment horizontal="left" readingOrder="0" vertical="center"/>
    </xf>
    <xf borderId="49" fillId="0" fontId="13" numFmtId="0" xfId="0" applyAlignment="1" applyBorder="1" applyFont="1">
      <alignment readingOrder="0" shrinkToFit="0" vertical="center" wrapText="1"/>
    </xf>
    <xf borderId="49" fillId="0" fontId="13" numFmtId="0" xfId="0" applyAlignment="1" applyBorder="1" applyFont="1">
      <alignment readingOrder="0" vertical="center"/>
    </xf>
    <xf borderId="49" fillId="0" fontId="16" numFmtId="0" xfId="0" applyAlignment="1" applyBorder="1" applyFont="1">
      <alignment horizontal="center" vertical="center"/>
    </xf>
    <xf borderId="50" fillId="7" fontId="16" numFmtId="164" xfId="0" applyAlignment="1" applyBorder="1" applyFont="1" applyNumberFormat="1">
      <alignment horizontal="center" readingOrder="0" vertical="center"/>
    </xf>
    <xf borderId="49" fillId="0" fontId="16" numFmtId="164" xfId="0" applyAlignment="1" applyBorder="1" applyFont="1" applyNumberFormat="1">
      <alignment horizontal="center" vertical="center"/>
    </xf>
    <xf borderId="49" fillId="7" fontId="16" numFmtId="1" xfId="0" applyAlignment="1" applyBorder="1" applyFont="1" applyNumberFormat="1">
      <alignment horizontal="center" readingOrder="0" vertical="center"/>
    </xf>
    <xf borderId="49" fillId="7" fontId="16" numFmtId="9" xfId="0" applyAlignment="1" applyBorder="1" applyFont="1" applyNumberFormat="1">
      <alignment horizontal="center" readingOrder="0" vertical="center"/>
    </xf>
    <xf borderId="49" fillId="0" fontId="16" numFmtId="1" xfId="0" applyAlignment="1" applyBorder="1" applyFont="1" applyNumberFormat="1">
      <alignment horizontal="center" vertical="center"/>
    </xf>
    <xf borderId="49" fillId="0" fontId="17" numFmtId="1" xfId="0" applyAlignment="1" applyBorder="1" applyFont="1" applyNumberFormat="1">
      <alignment horizontal="center" vertical="center"/>
    </xf>
    <xf borderId="49" fillId="0" fontId="13" numFmtId="0" xfId="0" applyAlignment="1" applyBorder="1" applyFont="1">
      <alignment horizontal="left" vertical="center"/>
    </xf>
    <xf borderId="51" fillId="0" fontId="13" numFmtId="0" xfId="0" applyAlignment="1" applyBorder="1" applyFont="1">
      <alignment horizontal="left" vertical="center"/>
    </xf>
    <xf borderId="52" fillId="0" fontId="13" numFmtId="0" xfId="0" applyAlignment="1" applyBorder="1" applyFont="1">
      <alignment horizontal="left" vertical="center"/>
    </xf>
    <xf borderId="52" fillId="0" fontId="18" numFmtId="0" xfId="0" applyAlignment="1" applyBorder="1" applyFont="1">
      <alignment vertical="center"/>
    </xf>
    <xf borderId="52" fillId="0" fontId="13" numFmtId="0" xfId="0" applyAlignment="1" applyBorder="1" applyFont="1">
      <alignment horizontal="center" vertical="center"/>
    </xf>
    <xf borderId="52" fillId="0" fontId="18" numFmtId="164" xfId="0" applyAlignment="1" applyBorder="1" applyFont="1" applyNumberFormat="1">
      <alignment horizontal="center" vertical="center"/>
    </xf>
    <xf borderId="52" fillId="0" fontId="13" numFmtId="1" xfId="0" applyAlignment="1" applyBorder="1" applyFont="1" applyNumberFormat="1">
      <alignment horizontal="center" vertical="center"/>
    </xf>
    <xf borderId="52" fillId="0" fontId="13" numFmtId="3" xfId="0" applyAlignment="1" applyBorder="1" applyFont="1" applyNumberFormat="1">
      <alignment horizontal="center" vertical="center"/>
    </xf>
    <xf borderId="52" fillId="0" fontId="15" numFmtId="1" xfId="0" applyAlignment="1" applyBorder="1" applyFont="1" applyNumberFormat="1">
      <alignment horizontal="center" vertical="center"/>
    </xf>
    <xf borderId="43" fillId="7" fontId="16" numFmtId="1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7F7F7F"/>
          <bgColor rgb="FF7F7F7F"/>
        </patternFill>
      </fill>
      <border/>
    </dxf>
    <dxf>
      <font/>
      <fill>
        <patternFill patternType="solid">
          <fgColor rgb="FF0070C0"/>
          <bgColor rgb="FF0070C0"/>
        </patternFill>
      </fill>
      <border/>
    </dxf>
    <dxf>
      <font/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  <tableStyles count="1">
    <tableStyle count="3" pivot="0" name="GanttCha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4:G5" displayName="Table_1" name="Table_1" id="1">
  <tableColumns count="2">
    <tableColumn name="Column1" id="1"/>
    <tableColumn name="Column2" id="2"/>
  </tableColumns>
  <tableStyleInfo name="Gantt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.63"/>
    <col customWidth="1" min="2" max="2" width="25.13"/>
    <col customWidth="1" min="9" max="9" width="4.7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 t="s">
        <v>0</v>
      </c>
      <c r="C2" s="3"/>
      <c r="D2" s="3"/>
      <c r="E2" s="3"/>
      <c r="F2" s="3"/>
      <c r="G2" s="3"/>
      <c r="H2" s="4"/>
      <c r="I2" s="1"/>
    </row>
    <row r="3">
      <c r="A3" s="1"/>
      <c r="B3" s="6" t="s">
        <v>1</v>
      </c>
      <c r="C3" s="8"/>
      <c r="D3" s="10" t="s">
        <v>2</v>
      </c>
      <c r="E3" s="11"/>
      <c r="F3" s="11"/>
      <c r="G3" s="11"/>
      <c r="H3" s="13"/>
      <c r="I3" s="1"/>
    </row>
    <row r="4">
      <c r="A4" s="1"/>
      <c r="B4" s="15"/>
      <c r="C4" s="16"/>
      <c r="D4" s="18"/>
      <c r="H4" s="19"/>
      <c r="I4" s="1"/>
    </row>
    <row r="5">
      <c r="A5" s="1"/>
      <c r="B5" s="20"/>
      <c r="C5" s="21"/>
      <c r="D5" s="22"/>
      <c r="E5" s="23"/>
      <c r="F5" s="23"/>
      <c r="G5" s="23"/>
      <c r="H5" s="24"/>
      <c r="I5" s="1"/>
    </row>
    <row r="6" ht="19.5" customHeight="1">
      <c r="A6" s="1"/>
      <c r="B6" s="6" t="s">
        <v>3</v>
      </c>
      <c r="C6" s="8"/>
      <c r="D6" s="10" t="s">
        <v>4</v>
      </c>
      <c r="E6" s="11"/>
      <c r="F6" s="11"/>
      <c r="G6" s="11"/>
      <c r="H6" s="13"/>
      <c r="I6" s="1"/>
    </row>
    <row r="7" ht="19.5" customHeight="1">
      <c r="A7" s="1"/>
      <c r="B7" s="15"/>
      <c r="C7" s="16"/>
      <c r="D7" s="18"/>
      <c r="H7" s="19"/>
      <c r="I7" s="1"/>
    </row>
    <row r="8" ht="19.5" customHeight="1">
      <c r="A8" s="1"/>
      <c r="B8" s="15"/>
      <c r="C8" s="16"/>
      <c r="D8" s="18"/>
      <c r="H8" s="19"/>
      <c r="I8" s="1"/>
    </row>
    <row r="9" ht="19.5" customHeight="1">
      <c r="A9" s="1"/>
      <c r="B9" s="20"/>
      <c r="C9" s="21"/>
      <c r="D9" s="22"/>
      <c r="E9" s="23"/>
      <c r="F9" s="23"/>
      <c r="G9" s="23"/>
      <c r="H9" s="24"/>
      <c r="I9" s="1"/>
    </row>
    <row r="10" ht="21.0" customHeight="1">
      <c r="A10" s="1"/>
      <c r="B10" s="25" t="s">
        <v>5</v>
      </c>
      <c r="C10" s="8"/>
      <c r="D10" s="10" t="s">
        <v>6</v>
      </c>
      <c r="E10" s="11"/>
      <c r="F10" s="11"/>
      <c r="G10" s="11"/>
      <c r="H10" s="13"/>
      <c r="I10" s="1"/>
    </row>
    <row r="11" ht="21.0" customHeight="1">
      <c r="A11" s="1"/>
      <c r="B11" s="15"/>
      <c r="C11" s="16"/>
      <c r="D11" s="18"/>
      <c r="H11" s="19"/>
      <c r="I11" s="1"/>
    </row>
    <row r="12" ht="21.0" customHeight="1">
      <c r="A12" s="1"/>
      <c r="B12" s="15"/>
      <c r="C12" s="16"/>
      <c r="D12" s="18"/>
      <c r="H12" s="19"/>
      <c r="I12" s="1"/>
    </row>
    <row r="13" ht="21.0" customHeight="1">
      <c r="A13" s="1"/>
      <c r="B13" s="26"/>
      <c r="C13" s="27"/>
      <c r="D13" s="28"/>
      <c r="E13" s="29"/>
      <c r="F13" s="29"/>
      <c r="G13" s="29"/>
      <c r="H13" s="31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</sheetData>
  <mergeCells count="7">
    <mergeCell ref="B2:H2"/>
    <mergeCell ref="B3:C5"/>
    <mergeCell ref="D3:H5"/>
    <mergeCell ref="B6:C9"/>
    <mergeCell ref="D6:H9"/>
    <mergeCell ref="B10:C13"/>
    <mergeCell ref="D10:H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Row="1"/>
  <cols>
    <col customWidth="1" min="1" max="1" width="3.0"/>
    <col customWidth="1" min="2" max="2" width="5.13"/>
    <col customWidth="1" min="3" max="3" width="26.38"/>
    <col customWidth="1" min="4" max="4" width="12.38"/>
    <col customWidth="1" hidden="1" min="5" max="5" width="11.38"/>
    <col customWidth="1" min="6" max="6" width="10.5"/>
    <col customWidth="1" min="7" max="7" width="13.63"/>
    <col customWidth="1" min="8" max="8" width="9.88"/>
    <col customWidth="1" min="9" max="9" width="5.88"/>
    <col customWidth="1" min="10" max="10" width="7.25"/>
    <col customWidth="1" min="11" max="11" width="1.63"/>
    <col customWidth="1" min="12" max="66" width="2.13"/>
    <col customWidth="1" min="67" max="68" width="2.63"/>
  </cols>
  <sheetData>
    <row r="1" ht="12.75" customHeight="1">
      <c r="A1" s="5"/>
      <c r="B1" s="7"/>
      <c r="C1" s="9"/>
      <c r="D1" s="9"/>
      <c r="E1" s="9"/>
      <c r="F1" s="12"/>
      <c r="G1" s="12"/>
      <c r="H1" s="9"/>
      <c r="I1" s="14"/>
      <c r="J1" s="9"/>
      <c r="K1" s="9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30"/>
    </row>
    <row r="2" ht="12.75" customHeight="1">
      <c r="A2" s="30"/>
      <c r="B2" s="32"/>
      <c r="C2" s="33" t="s">
        <v>7</v>
      </c>
      <c r="D2" s="34">
        <v>44629.0</v>
      </c>
      <c r="E2" s="35"/>
      <c r="F2" s="35"/>
      <c r="G2" s="36"/>
      <c r="H2" s="37" t="s">
        <v>8</v>
      </c>
      <c r="I2" s="38">
        <v>3.0</v>
      </c>
      <c r="J2" s="35"/>
      <c r="K2" s="35"/>
      <c r="L2" s="42" t="str">
        <f>"Hafta "&amp;(L4-($D$2-WEEKDAY($D$2,1)+2))/7+1</f>
        <v>Hafta 3</v>
      </c>
      <c r="M2" s="41"/>
      <c r="N2" s="41"/>
      <c r="O2" s="41"/>
      <c r="P2" s="41"/>
      <c r="Q2" s="41"/>
      <c r="R2" s="43"/>
      <c r="S2" s="42" t="str">
        <f>"Hafta "&amp;(S4-($D$2-WEEKDAY($D$2,1)+2))/7+1</f>
        <v>Hafta 4</v>
      </c>
      <c r="T2" s="41"/>
      <c r="U2" s="41"/>
      <c r="V2" s="41"/>
      <c r="W2" s="41"/>
      <c r="X2" s="41"/>
      <c r="Y2" s="43"/>
      <c r="Z2" s="42" t="str">
        <f>"Hafta "&amp;(Z4-($D$2-WEEKDAY($D$2,1)+2))/7+1</f>
        <v>Hafta 5</v>
      </c>
      <c r="AA2" s="41"/>
      <c r="AB2" s="41"/>
      <c r="AC2" s="41"/>
      <c r="AD2" s="41"/>
      <c r="AE2" s="41"/>
      <c r="AF2" s="43"/>
      <c r="AG2" s="42" t="str">
        <f>"Hafta "&amp;(AG4-($D$2-WEEKDAY($D$2,1)+2))/7+1</f>
        <v>Hafta 6</v>
      </c>
      <c r="AH2" s="41"/>
      <c r="AI2" s="41"/>
      <c r="AJ2" s="41"/>
      <c r="AK2" s="41"/>
      <c r="AL2" s="41"/>
      <c r="AM2" s="43"/>
      <c r="AN2" s="42" t="str">
        <f>"Hafta "&amp;(AN4-($D$2-WEEKDAY($D$2,1)+2))/7+1</f>
        <v>Hafta 7</v>
      </c>
      <c r="AO2" s="41"/>
      <c r="AP2" s="41"/>
      <c r="AQ2" s="41"/>
      <c r="AR2" s="41"/>
      <c r="AS2" s="41"/>
      <c r="AT2" s="43"/>
      <c r="AU2" s="42" t="str">
        <f>"Hafta "&amp;(AU4-($D$2-WEEKDAY($D$2,1)+2))/7+1</f>
        <v>Hafta 8</v>
      </c>
      <c r="AV2" s="41"/>
      <c r="AW2" s="41"/>
      <c r="AX2" s="41"/>
      <c r="AY2" s="41"/>
      <c r="AZ2" s="41"/>
      <c r="BA2" s="43"/>
      <c r="BB2" s="42" t="str">
        <f>"Hafta "&amp;(BB4-($D$2-WEEKDAY($D$2,1)+2))/7+1</f>
        <v>Hafta 9</v>
      </c>
      <c r="BC2" s="41"/>
      <c r="BD2" s="41"/>
      <c r="BE2" s="41"/>
      <c r="BF2" s="41"/>
      <c r="BG2" s="41"/>
      <c r="BH2" s="43"/>
      <c r="BI2" s="42" t="str">
        <f>"Hafta "&amp;(BI4-($D$2-WEEKDAY($D$2,1)+2))/7+1</f>
        <v>Hafta 10</v>
      </c>
      <c r="BJ2" s="41"/>
      <c r="BK2" s="41"/>
      <c r="BL2" s="41"/>
      <c r="BM2" s="41"/>
      <c r="BN2" s="41"/>
      <c r="BO2" s="44"/>
      <c r="BP2" s="45"/>
    </row>
    <row r="3" ht="17.25" customHeight="1">
      <c r="A3" s="30"/>
      <c r="B3" s="46"/>
      <c r="C3" s="57" t="s">
        <v>26</v>
      </c>
      <c r="D3" s="48" t="s">
        <v>27</v>
      </c>
      <c r="E3" s="49"/>
      <c r="F3" s="49"/>
      <c r="G3" s="50"/>
      <c r="H3" s="51"/>
      <c r="I3" s="59"/>
      <c r="J3" s="51"/>
      <c r="K3" s="51"/>
      <c r="L3" s="62">
        <f>L4</f>
        <v>44641</v>
      </c>
      <c r="R3" s="54"/>
      <c r="S3" s="62">
        <f>S4</f>
        <v>44648</v>
      </c>
      <c r="Y3" s="54"/>
      <c r="Z3" s="62">
        <f>Z4</f>
        <v>44655</v>
      </c>
      <c r="AF3" s="54"/>
      <c r="AG3" s="62">
        <f>AG4</f>
        <v>44662</v>
      </c>
      <c r="AM3" s="54"/>
      <c r="AN3" s="62">
        <f>AN4</f>
        <v>44669</v>
      </c>
      <c r="AT3" s="54"/>
      <c r="AU3" s="62">
        <f>AU4</f>
        <v>44676</v>
      </c>
      <c r="BA3" s="54"/>
      <c r="BB3" s="62">
        <f>BB4</f>
        <v>44683</v>
      </c>
      <c r="BH3" s="54"/>
      <c r="BI3" s="62">
        <f>BI4</f>
        <v>44690</v>
      </c>
      <c r="BO3" s="55"/>
      <c r="BP3" s="56"/>
    </row>
    <row r="4" ht="12.75" customHeight="1">
      <c r="A4" s="30"/>
      <c r="B4" s="46"/>
      <c r="C4" s="51"/>
      <c r="D4" s="51"/>
      <c r="E4" s="51"/>
      <c r="F4" s="50"/>
      <c r="G4" s="50"/>
      <c r="H4" s="51"/>
      <c r="I4" s="59"/>
      <c r="J4" s="51"/>
      <c r="K4" s="51"/>
      <c r="L4" s="60">
        <f>$D$2-WEEKDAY(D2,1)+2+7*(I2-1)</f>
        <v>44641</v>
      </c>
      <c r="M4" s="61">
        <f t="shared" ref="M4:BO4" si="1">L4+1</f>
        <v>44642</v>
      </c>
      <c r="N4" s="61">
        <f t="shared" si="1"/>
        <v>44643</v>
      </c>
      <c r="O4" s="61">
        <f t="shared" si="1"/>
        <v>44644</v>
      </c>
      <c r="P4" s="61">
        <f t="shared" si="1"/>
        <v>44645</v>
      </c>
      <c r="Q4" s="61">
        <f t="shared" si="1"/>
        <v>44646</v>
      </c>
      <c r="R4" s="63">
        <f t="shared" si="1"/>
        <v>44647</v>
      </c>
      <c r="S4" s="60">
        <f t="shared" si="1"/>
        <v>44648</v>
      </c>
      <c r="T4" s="61">
        <f t="shared" si="1"/>
        <v>44649</v>
      </c>
      <c r="U4" s="61">
        <f t="shared" si="1"/>
        <v>44650</v>
      </c>
      <c r="V4" s="61">
        <f t="shared" si="1"/>
        <v>44651</v>
      </c>
      <c r="W4" s="61">
        <f t="shared" si="1"/>
        <v>44652</v>
      </c>
      <c r="X4" s="61">
        <f t="shared" si="1"/>
        <v>44653</v>
      </c>
      <c r="Y4" s="63">
        <f t="shared" si="1"/>
        <v>44654</v>
      </c>
      <c r="Z4" s="60">
        <f t="shared" si="1"/>
        <v>44655</v>
      </c>
      <c r="AA4" s="61">
        <f t="shared" si="1"/>
        <v>44656</v>
      </c>
      <c r="AB4" s="61">
        <f t="shared" si="1"/>
        <v>44657</v>
      </c>
      <c r="AC4" s="61">
        <f t="shared" si="1"/>
        <v>44658</v>
      </c>
      <c r="AD4" s="61">
        <f t="shared" si="1"/>
        <v>44659</v>
      </c>
      <c r="AE4" s="61">
        <f t="shared" si="1"/>
        <v>44660</v>
      </c>
      <c r="AF4" s="63">
        <f t="shared" si="1"/>
        <v>44661</v>
      </c>
      <c r="AG4" s="60">
        <f t="shared" si="1"/>
        <v>44662</v>
      </c>
      <c r="AH4" s="61">
        <f t="shared" si="1"/>
        <v>44663</v>
      </c>
      <c r="AI4" s="61">
        <f t="shared" si="1"/>
        <v>44664</v>
      </c>
      <c r="AJ4" s="61">
        <f t="shared" si="1"/>
        <v>44665</v>
      </c>
      <c r="AK4" s="61">
        <f t="shared" si="1"/>
        <v>44666</v>
      </c>
      <c r="AL4" s="61">
        <f t="shared" si="1"/>
        <v>44667</v>
      </c>
      <c r="AM4" s="63">
        <f t="shared" si="1"/>
        <v>44668</v>
      </c>
      <c r="AN4" s="60">
        <f t="shared" si="1"/>
        <v>44669</v>
      </c>
      <c r="AO4" s="61">
        <f t="shared" si="1"/>
        <v>44670</v>
      </c>
      <c r="AP4" s="61">
        <f t="shared" si="1"/>
        <v>44671</v>
      </c>
      <c r="AQ4" s="61">
        <f t="shared" si="1"/>
        <v>44672</v>
      </c>
      <c r="AR4" s="61">
        <f t="shared" si="1"/>
        <v>44673</v>
      </c>
      <c r="AS4" s="61">
        <f t="shared" si="1"/>
        <v>44674</v>
      </c>
      <c r="AT4" s="63">
        <f t="shared" si="1"/>
        <v>44675</v>
      </c>
      <c r="AU4" s="60">
        <f t="shared" si="1"/>
        <v>44676</v>
      </c>
      <c r="AV4" s="61">
        <f t="shared" si="1"/>
        <v>44677</v>
      </c>
      <c r="AW4" s="61">
        <f t="shared" si="1"/>
        <v>44678</v>
      </c>
      <c r="AX4" s="61">
        <f t="shared" si="1"/>
        <v>44679</v>
      </c>
      <c r="AY4" s="61">
        <f t="shared" si="1"/>
        <v>44680</v>
      </c>
      <c r="AZ4" s="61">
        <f t="shared" si="1"/>
        <v>44681</v>
      </c>
      <c r="BA4" s="63">
        <f t="shared" si="1"/>
        <v>44682</v>
      </c>
      <c r="BB4" s="60">
        <f t="shared" si="1"/>
        <v>44683</v>
      </c>
      <c r="BC4" s="61">
        <f t="shared" si="1"/>
        <v>44684</v>
      </c>
      <c r="BD4" s="61">
        <f t="shared" si="1"/>
        <v>44685</v>
      </c>
      <c r="BE4" s="61">
        <f t="shared" si="1"/>
        <v>44686</v>
      </c>
      <c r="BF4" s="61">
        <f t="shared" si="1"/>
        <v>44687</v>
      </c>
      <c r="BG4" s="61">
        <f t="shared" si="1"/>
        <v>44688</v>
      </c>
      <c r="BH4" s="63">
        <f t="shared" si="1"/>
        <v>44689</v>
      </c>
      <c r="BI4" s="60">
        <f t="shared" si="1"/>
        <v>44690</v>
      </c>
      <c r="BJ4" s="61">
        <f t="shared" si="1"/>
        <v>44691</v>
      </c>
      <c r="BK4" s="61">
        <f t="shared" si="1"/>
        <v>44692</v>
      </c>
      <c r="BL4" s="61">
        <f t="shared" si="1"/>
        <v>44693</v>
      </c>
      <c r="BM4" s="61">
        <f t="shared" si="1"/>
        <v>44694</v>
      </c>
      <c r="BN4" s="61">
        <f t="shared" si="1"/>
        <v>44695</v>
      </c>
      <c r="BO4" s="64">
        <f t="shared" si="1"/>
        <v>44696</v>
      </c>
      <c r="BP4" s="65"/>
    </row>
    <row r="5" ht="24.75" customHeight="1">
      <c r="A5" s="66"/>
      <c r="B5" s="67" t="s">
        <v>29</v>
      </c>
      <c r="C5" s="68" t="s">
        <v>30</v>
      </c>
      <c r="D5" s="69" t="s">
        <v>31</v>
      </c>
      <c r="E5" s="70" t="s">
        <v>32</v>
      </c>
      <c r="F5" s="71" t="s">
        <v>33</v>
      </c>
      <c r="G5" s="71" t="s">
        <v>34</v>
      </c>
      <c r="H5" s="69" t="s">
        <v>35</v>
      </c>
      <c r="I5" s="72" t="s">
        <v>36</v>
      </c>
      <c r="J5" s="69" t="s">
        <v>37</v>
      </c>
      <c r="K5" s="73"/>
      <c r="L5" s="74" t="str">
        <f>CHOOSE(WEEKDAY(L4,1),"S","M","T","W","T","F","S")</f>
        <v>M</v>
      </c>
      <c r="M5" s="75" t="str">
        <f t="shared" ref="M5:BO5" si="2">CHOOSE(WEEKDAY(M4,1),"S","M","T","W","T","F","S")</f>
        <v>T</v>
      </c>
      <c r="N5" s="75" t="str">
        <f t="shared" si="2"/>
        <v>W</v>
      </c>
      <c r="O5" s="75" t="str">
        <f t="shared" si="2"/>
        <v>T</v>
      </c>
      <c r="P5" s="75" t="str">
        <f t="shared" si="2"/>
        <v>F</v>
      </c>
      <c r="Q5" s="75" t="str">
        <f t="shared" si="2"/>
        <v>S</v>
      </c>
      <c r="R5" s="76" t="str">
        <f t="shared" si="2"/>
        <v>S</v>
      </c>
      <c r="S5" s="74" t="str">
        <f t="shared" si="2"/>
        <v>M</v>
      </c>
      <c r="T5" s="75" t="str">
        <f t="shared" si="2"/>
        <v>T</v>
      </c>
      <c r="U5" s="75" t="str">
        <f t="shared" si="2"/>
        <v>W</v>
      </c>
      <c r="V5" s="75" t="str">
        <f t="shared" si="2"/>
        <v>T</v>
      </c>
      <c r="W5" s="75" t="str">
        <f t="shared" si="2"/>
        <v>F</v>
      </c>
      <c r="X5" s="75" t="str">
        <f t="shared" si="2"/>
        <v>S</v>
      </c>
      <c r="Y5" s="76" t="str">
        <f t="shared" si="2"/>
        <v>S</v>
      </c>
      <c r="Z5" s="74" t="str">
        <f t="shared" si="2"/>
        <v>M</v>
      </c>
      <c r="AA5" s="75" t="str">
        <f t="shared" si="2"/>
        <v>T</v>
      </c>
      <c r="AB5" s="75" t="str">
        <f t="shared" si="2"/>
        <v>W</v>
      </c>
      <c r="AC5" s="75" t="str">
        <f t="shared" si="2"/>
        <v>T</v>
      </c>
      <c r="AD5" s="75" t="str">
        <f t="shared" si="2"/>
        <v>F</v>
      </c>
      <c r="AE5" s="75" t="str">
        <f t="shared" si="2"/>
        <v>S</v>
      </c>
      <c r="AF5" s="76" t="str">
        <f t="shared" si="2"/>
        <v>S</v>
      </c>
      <c r="AG5" s="74" t="str">
        <f t="shared" si="2"/>
        <v>M</v>
      </c>
      <c r="AH5" s="75" t="str">
        <f t="shared" si="2"/>
        <v>T</v>
      </c>
      <c r="AI5" s="75" t="str">
        <f t="shared" si="2"/>
        <v>W</v>
      </c>
      <c r="AJ5" s="75" t="str">
        <f t="shared" si="2"/>
        <v>T</v>
      </c>
      <c r="AK5" s="75" t="str">
        <f t="shared" si="2"/>
        <v>F</v>
      </c>
      <c r="AL5" s="75" t="str">
        <f t="shared" si="2"/>
        <v>S</v>
      </c>
      <c r="AM5" s="76" t="str">
        <f t="shared" si="2"/>
        <v>S</v>
      </c>
      <c r="AN5" s="74" t="str">
        <f t="shared" si="2"/>
        <v>M</v>
      </c>
      <c r="AO5" s="75" t="str">
        <f t="shared" si="2"/>
        <v>T</v>
      </c>
      <c r="AP5" s="75" t="str">
        <f t="shared" si="2"/>
        <v>W</v>
      </c>
      <c r="AQ5" s="75" t="str">
        <f t="shared" si="2"/>
        <v>T</v>
      </c>
      <c r="AR5" s="75" t="str">
        <f t="shared" si="2"/>
        <v>F</v>
      </c>
      <c r="AS5" s="75" t="str">
        <f t="shared" si="2"/>
        <v>S</v>
      </c>
      <c r="AT5" s="76" t="str">
        <f t="shared" si="2"/>
        <v>S</v>
      </c>
      <c r="AU5" s="74" t="str">
        <f t="shared" si="2"/>
        <v>M</v>
      </c>
      <c r="AV5" s="75" t="str">
        <f t="shared" si="2"/>
        <v>T</v>
      </c>
      <c r="AW5" s="75" t="str">
        <f t="shared" si="2"/>
        <v>W</v>
      </c>
      <c r="AX5" s="75" t="str">
        <f t="shared" si="2"/>
        <v>T</v>
      </c>
      <c r="AY5" s="75" t="str">
        <f t="shared" si="2"/>
        <v>F</v>
      </c>
      <c r="AZ5" s="75" t="str">
        <f t="shared" si="2"/>
        <v>S</v>
      </c>
      <c r="BA5" s="76" t="str">
        <f t="shared" si="2"/>
        <v>S</v>
      </c>
      <c r="BB5" s="74" t="str">
        <f t="shared" si="2"/>
        <v>M</v>
      </c>
      <c r="BC5" s="75" t="str">
        <f t="shared" si="2"/>
        <v>T</v>
      </c>
      <c r="BD5" s="75" t="str">
        <f t="shared" si="2"/>
        <v>W</v>
      </c>
      <c r="BE5" s="75" t="str">
        <f t="shared" si="2"/>
        <v>T</v>
      </c>
      <c r="BF5" s="75" t="str">
        <f t="shared" si="2"/>
        <v>F</v>
      </c>
      <c r="BG5" s="75" t="str">
        <f t="shared" si="2"/>
        <v>S</v>
      </c>
      <c r="BH5" s="76" t="str">
        <f t="shared" si="2"/>
        <v>S</v>
      </c>
      <c r="BI5" s="74" t="str">
        <f t="shared" si="2"/>
        <v>M</v>
      </c>
      <c r="BJ5" s="75" t="str">
        <f t="shared" si="2"/>
        <v>T</v>
      </c>
      <c r="BK5" s="75" t="str">
        <f t="shared" si="2"/>
        <v>W</v>
      </c>
      <c r="BL5" s="75" t="str">
        <f t="shared" si="2"/>
        <v>T</v>
      </c>
      <c r="BM5" s="75" t="str">
        <f t="shared" si="2"/>
        <v>F</v>
      </c>
      <c r="BN5" s="75" t="str">
        <f t="shared" si="2"/>
        <v>S</v>
      </c>
      <c r="BO5" s="77" t="str">
        <f t="shared" si="2"/>
        <v>S</v>
      </c>
      <c r="BP5" s="78"/>
    </row>
    <row r="6" ht="12.75" customHeight="1">
      <c r="A6" s="79"/>
      <c r="B6" s="80" t="str">
        <f>IF(ISERROR(VALUE(SUBSTITUTE(GanttChart!prevWBS,".",""))),"1",IF(ISERROR(FIND("`",SUBSTITUTE(GanttChart!prevWBS,".","`",1))),TEXT(VALUE(GanttChart!prevWBS)+1,"#"),TEXT(VALUE(LEFT(GanttChart!prevWBS,FIND("`",SUBSTITUTE(GanttChart!prevWBS,".","`",1))-1))+1,"#")))</f>
        <v>1</v>
      </c>
      <c r="C6" s="81" t="s">
        <v>38</v>
      </c>
      <c r="D6" s="82" t="s">
        <v>39</v>
      </c>
      <c r="E6" s="83"/>
      <c r="F6" s="97"/>
      <c r="G6" s="98"/>
      <c r="H6" s="85"/>
      <c r="I6" s="86"/>
      <c r="J6" s="85"/>
      <c r="K6" s="87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9"/>
      <c r="BP6" s="90"/>
    </row>
    <row r="7" ht="12.75" customHeight="1" outlineLevel="1">
      <c r="A7" s="91"/>
      <c r="B7" s="92">
        <v>1.1</v>
      </c>
      <c r="C7" s="107" t="s">
        <v>42</v>
      </c>
      <c r="D7" s="94" t="s">
        <v>39</v>
      </c>
      <c r="E7" s="95"/>
      <c r="F7" s="108">
        <f>D2</f>
        <v>44629</v>
      </c>
      <c r="G7" s="99">
        <f t="shared" ref="G7:G15" si="3">IF(ISBLANK(F7)," - ",IF(H7=0,F7,F7+H7-1))</f>
        <v>44633</v>
      </c>
      <c r="H7" s="100">
        <v>5.0</v>
      </c>
      <c r="I7" s="101">
        <v>0.5</v>
      </c>
      <c r="J7" s="102">
        <f t="shared" ref="J7:J15" si="4">IF(OR(G7=0,F7=0)," - ",NETWORKDAYS(F7,G7))</f>
        <v>3</v>
      </c>
      <c r="K7" s="103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5"/>
      <c r="BP7" s="90"/>
    </row>
    <row r="8" ht="12.75" customHeight="1" outlineLevel="1">
      <c r="A8" s="91"/>
      <c r="B8" s="92">
        <v>1.2</v>
      </c>
      <c r="C8" s="107" t="s">
        <v>45</v>
      </c>
      <c r="D8" s="94" t="s">
        <v>39</v>
      </c>
      <c r="E8" s="95"/>
      <c r="F8" s="96">
        <v>44646.0</v>
      </c>
      <c r="G8" s="99">
        <f t="shared" si="3"/>
        <v>44653</v>
      </c>
      <c r="H8" s="100">
        <v>8.0</v>
      </c>
      <c r="I8" s="101">
        <v>0.3</v>
      </c>
      <c r="J8" s="102">
        <f t="shared" si="4"/>
        <v>5</v>
      </c>
      <c r="K8" s="103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5"/>
      <c r="BP8" s="90"/>
    </row>
    <row r="9" ht="12.75" customHeight="1" outlineLevel="1">
      <c r="A9" s="91"/>
      <c r="B9" s="92">
        <v>1.3</v>
      </c>
      <c r="C9" s="107" t="s">
        <v>47</v>
      </c>
      <c r="D9" s="94" t="s">
        <v>39</v>
      </c>
      <c r="E9" s="95"/>
      <c r="F9" s="96">
        <v>44647.0</v>
      </c>
      <c r="G9" s="99">
        <f t="shared" si="3"/>
        <v>44651</v>
      </c>
      <c r="H9" s="100">
        <v>5.0</v>
      </c>
      <c r="I9" s="101">
        <v>1.0</v>
      </c>
      <c r="J9" s="102">
        <f t="shared" si="4"/>
        <v>4</v>
      </c>
      <c r="K9" s="103"/>
      <c r="L9" s="104"/>
      <c r="M9" s="104"/>
      <c r="N9" s="109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5"/>
      <c r="BP9" s="90"/>
    </row>
    <row r="10" ht="12.75" customHeight="1" outlineLevel="1">
      <c r="A10" s="91"/>
      <c r="B10" s="92">
        <v>1.4</v>
      </c>
      <c r="C10" s="107" t="s">
        <v>49</v>
      </c>
      <c r="D10" s="94" t="s">
        <v>39</v>
      </c>
      <c r="E10" s="95"/>
      <c r="F10" s="96">
        <v>44647.0</v>
      </c>
      <c r="G10" s="99">
        <f t="shared" si="3"/>
        <v>44650</v>
      </c>
      <c r="H10" s="100">
        <v>4.0</v>
      </c>
      <c r="I10" s="101">
        <v>0.25</v>
      </c>
      <c r="J10" s="102">
        <f t="shared" si="4"/>
        <v>3</v>
      </c>
      <c r="K10" s="103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5"/>
      <c r="BP10" s="90"/>
    </row>
    <row r="11" ht="12.75" customHeight="1" outlineLevel="1">
      <c r="A11" s="91"/>
      <c r="B11" s="92">
        <v>1.5</v>
      </c>
      <c r="C11" s="106" t="s">
        <v>41</v>
      </c>
      <c r="D11" s="94" t="s">
        <v>39</v>
      </c>
      <c r="E11" s="95"/>
      <c r="F11" s="96">
        <v>44648.0</v>
      </c>
      <c r="G11" s="99">
        <f t="shared" si="3"/>
        <v>44651</v>
      </c>
      <c r="H11" s="100">
        <v>4.0</v>
      </c>
      <c r="I11" s="101">
        <v>0.35</v>
      </c>
      <c r="J11" s="102">
        <f t="shared" si="4"/>
        <v>4</v>
      </c>
      <c r="K11" s="103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5"/>
      <c r="BP11" s="90"/>
    </row>
    <row r="12" ht="12.75" customHeight="1" outlineLevel="1">
      <c r="A12" s="91"/>
      <c r="B12" s="92">
        <v>1.6</v>
      </c>
      <c r="C12" s="106" t="s">
        <v>51</v>
      </c>
      <c r="D12" s="94" t="s">
        <v>39</v>
      </c>
      <c r="E12" s="95"/>
      <c r="F12" s="96">
        <v>44649.0</v>
      </c>
      <c r="G12" s="99">
        <f t="shared" si="3"/>
        <v>44651</v>
      </c>
      <c r="H12" s="122">
        <v>3.0</v>
      </c>
      <c r="I12" s="101">
        <v>0.3</v>
      </c>
      <c r="J12" s="102">
        <f t="shared" si="4"/>
        <v>3</v>
      </c>
      <c r="K12" s="103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5"/>
      <c r="BP12" s="90"/>
    </row>
    <row r="13" ht="12.75" customHeight="1" outlineLevel="1">
      <c r="A13" s="91"/>
      <c r="B13" s="92">
        <v>1.7</v>
      </c>
      <c r="C13" s="107" t="s">
        <v>53</v>
      </c>
      <c r="D13" s="94" t="s">
        <v>39</v>
      </c>
      <c r="E13" s="95"/>
      <c r="F13" s="96">
        <v>44650.0</v>
      </c>
      <c r="G13" s="99">
        <f t="shared" si="3"/>
        <v>44651</v>
      </c>
      <c r="H13" s="122">
        <v>2.0</v>
      </c>
      <c r="I13" s="101">
        <v>0.2</v>
      </c>
      <c r="J13" s="102">
        <f t="shared" si="4"/>
        <v>2</v>
      </c>
      <c r="K13" s="103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5"/>
      <c r="BP13" s="90"/>
    </row>
    <row r="14" ht="12.75" customHeight="1" outlineLevel="1">
      <c r="A14" s="91"/>
      <c r="B14" s="92">
        <v>1.8</v>
      </c>
      <c r="C14" s="107" t="s">
        <v>55</v>
      </c>
      <c r="D14" s="94" t="s">
        <v>39</v>
      </c>
      <c r="E14" s="95"/>
      <c r="F14" s="96">
        <v>44650.0</v>
      </c>
      <c r="G14" s="99">
        <f t="shared" si="3"/>
        <v>44656</v>
      </c>
      <c r="H14" s="122">
        <v>7.0</v>
      </c>
      <c r="I14" s="101">
        <v>0.45</v>
      </c>
      <c r="J14" s="102">
        <f t="shared" si="4"/>
        <v>5</v>
      </c>
      <c r="K14" s="103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5"/>
      <c r="BP14" s="90"/>
    </row>
    <row r="15" ht="12.75" customHeight="1" outlineLevel="1">
      <c r="A15" s="91"/>
      <c r="B15" s="92">
        <v>1.9</v>
      </c>
      <c r="C15" s="107" t="s">
        <v>57</v>
      </c>
      <c r="D15" s="94" t="s">
        <v>39</v>
      </c>
      <c r="E15" s="95"/>
      <c r="F15" s="96">
        <v>44651.0</v>
      </c>
      <c r="G15" s="99">
        <f t="shared" si="3"/>
        <v>44665</v>
      </c>
      <c r="H15" s="100">
        <v>15.0</v>
      </c>
      <c r="I15" s="101">
        <v>0.5</v>
      </c>
      <c r="J15" s="102">
        <f t="shared" si="4"/>
        <v>11</v>
      </c>
      <c r="K15" s="103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5"/>
      <c r="BP15" s="90"/>
    </row>
    <row r="16" ht="12.75" customHeight="1">
      <c r="A16" s="110"/>
      <c r="B16" s="111">
        <v>2.0</v>
      </c>
      <c r="C16" s="112" t="s">
        <v>50</v>
      </c>
      <c r="D16" s="113" t="s">
        <v>39</v>
      </c>
      <c r="E16" s="114"/>
      <c r="F16" s="125"/>
      <c r="G16" s="125"/>
      <c r="H16" s="116"/>
      <c r="I16" s="117"/>
      <c r="J16" s="116"/>
      <c r="K16" s="118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20"/>
      <c r="BP16" s="90"/>
    </row>
    <row r="17" ht="12.75" customHeight="1" outlineLevel="1">
      <c r="A17" s="91"/>
      <c r="B17" s="92">
        <v>2.1</v>
      </c>
      <c r="C17" s="124" t="s">
        <v>61</v>
      </c>
      <c r="D17" s="94" t="s">
        <v>39</v>
      </c>
      <c r="E17" s="95"/>
      <c r="F17" s="96">
        <v>44653.0</v>
      </c>
      <c r="G17" s="99">
        <f t="shared" ref="G17:G20" si="5">IF(ISBLANK(F17)," - ",IF(H17=0,F17,F17+H17-1))</f>
        <v>44655</v>
      </c>
      <c r="H17" s="100">
        <v>3.0</v>
      </c>
      <c r="I17" s="101">
        <v>0.2</v>
      </c>
      <c r="J17" s="102">
        <f t="shared" ref="J17:J26" si="6">IF(OR(G17=0,F17=0)," - ",NETWORKDAYS(F17,G17))</f>
        <v>1</v>
      </c>
      <c r="K17" s="103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5"/>
      <c r="BP17" s="90"/>
    </row>
    <row r="18" ht="12.75" customHeight="1" outlineLevel="1">
      <c r="A18" s="91"/>
      <c r="B18" s="92">
        <v>2.2</v>
      </c>
      <c r="C18" s="126" t="s">
        <v>63</v>
      </c>
      <c r="D18" s="94" t="s">
        <v>39</v>
      </c>
      <c r="E18" s="95"/>
      <c r="F18" s="96">
        <v>44654.0</v>
      </c>
      <c r="G18" s="99">
        <f t="shared" si="5"/>
        <v>44656</v>
      </c>
      <c r="H18" s="122">
        <v>3.0</v>
      </c>
      <c r="I18" s="101">
        <v>0.15</v>
      </c>
      <c r="J18" s="102">
        <f t="shared" si="6"/>
        <v>2</v>
      </c>
      <c r="K18" s="103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5"/>
      <c r="BP18" s="90"/>
    </row>
    <row r="19" ht="12.75" customHeight="1" outlineLevel="1">
      <c r="A19" s="91"/>
      <c r="B19" s="92">
        <v>2.3</v>
      </c>
      <c r="C19" s="124" t="s">
        <v>65</v>
      </c>
      <c r="D19" s="94" t="s">
        <v>39</v>
      </c>
      <c r="E19" s="95"/>
      <c r="F19" s="96">
        <v>44655.0</v>
      </c>
      <c r="G19" s="99">
        <f t="shared" si="5"/>
        <v>44657</v>
      </c>
      <c r="H19" s="122">
        <v>3.0</v>
      </c>
      <c r="I19" s="123">
        <v>0.0</v>
      </c>
      <c r="J19" s="102">
        <f t="shared" si="6"/>
        <v>3</v>
      </c>
      <c r="K19" s="103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5"/>
      <c r="BP19" s="90"/>
    </row>
    <row r="20" ht="12.75" customHeight="1" outlineLevel="1">
      <c r="A20" s="91"/>
      <c r="B20" s="92">
        <v>2.4</v>
      </c>
      <c r="C20" s="126" t="s">
        <v>67</v>
      </c>
      <c r="D20" s="94" t="s">
        <v>39</v>
      </c>
      <c r="E20" s="95"/>
      <c r="F20" s="96">
        <v>44656.0</v>
      </c>
      <c r="G20" s="99">
        <f t="shared" si="5"/>
        <v>44657</v>
      </c>
      <c r="H20" s="122">
        <v>2.0</v>
      </c>
      <c r="I20" s="101">
        <v>0.9</v>
      </c>
      <c r="J20" s="102">
        <f t="shared" si="6"/>
        <v>2</v>
      </c>
      <c r="K20" s="103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5"/>
      <c r="BP20" s="90"/>
    </row>
    <row r="21" ht="12.75" customHeight="1" outlineLevel="1">
      <c r="A21" s="91"/>
      <c r="B21" s="92">
        <v>2.5</v>
      </c>
      <c r="C21" s="124" t="s">
        <v>69</v>
      </c>
      <c r="D21" s="94" t="s">
        <v>39</v>
      </c>
      <c r="E21" s="95"/>
      <c r="F21" s="96">
        <v>44657.0</v>
      </c>
      <c r="G21" s="99">
        <f t="shared" ref="G21:G26" si="7">IF(ISBLANK(F21)," - ",IF(H21=0,F21,F21+H21-1))</f>
        <v>44659</v>
      </c>
      <c r="H21" s="122">
        <v>3.0</v>
      </c>
      <c r="I21" s="101">
        <v>0.6</v>
      </c>
      <c r="J21" s="102">
        <f t="shared" si="6"/>
        <v>3</v>
      </c>
      <c r="K21" s="103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5"/>
      <c r="BP21" s="90"/>
    </row>
    <row r="22" ht="12.75" customHeight="1" outlineLevel="1">
      <c r="A22" s="91"/>
      <c r="B22" s="92">
        <v>2.6</v>
      </c>
      <c r="C22" s="124" t="s">
        <v>71</v>
      </c>
      <c r="D22" s="94" t="s">
        <v>39</v>
      </c>
      <c r="E22" s="95"/>
      <c r="F22" s="96">
        <v>44658.0</v>
      </c>
      <c r="G22" s="99">
        <f t="shared" si="7"/>
        <v>44661</v>
      </c>
      <c r="H22" s="100">
        <v>4.0</v>
      </c>
      <c r="I22" s="101">
        <v>0.7</v>
      </c>
      <c r="J22" s="102">
        <f t="shared" si="6"/>
        <v>2</v>
      </c>
      <c r="K22" s="103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5"/>
      <c r="BP22" s="90"/>
    </row>
    <row r="23" ht="12.75" customHeight="1" outlineLevel="1">
      <c r="A23" s="91"/>
      <c r="B23" s="92">
        <v>2.7</v>
      </c>
      <c r="C23" s="124" t="s">
        <v>56</v>
      </c>
      <c r="D23" s="94" t="s">
        <v>39</v>
      </c>
      <c r="E23" s="95"/>
      <c r="F23" s="96">
        <v>44659.0</v>
      </c>
      <c r="G23" s="99">
        <f t="shared" si="7"/>
        <v>44661</v>
      </c>
      <c r="H23" s="100">
        <v>3.0</v>
      </c>
      <c r="I23" s="101">
        <v>0.45</v>
      </c>
      <c r="J23" s="102">
        <f t="shared" si="6"/>
        <v>1</v>
      </c>
      <c r="K23" s="103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5"/>
      <c r="BP23" s="90"/>
    </row>
    <row r="24" ht="12.75" customHeight="1" outlineLevel="1">
      <c r="A24" s="91"/>
      <c r="B24" s="92">
        <v>2.8</v>
      </c>
      <c r="C24" s="124" t="s">
        <v>74</v>
      </c>
      <c r="D24" s="94" t="s">
        <v>39</v>
      </c>
      <c r="E24" s="95"/>
      <c r="F24" s="96">
        <v>44660.0</v>
      </c>
      <c r="G24" s="99">
        <f t="shared" si="7"/>
        <v>44665</v>
      </c>
      <c r="H24" s="100">
        <v>6.0</v>
      </c>
      <c r="I24" s="101">
        <v>0.5</v>
      </c>
      <c r="J24" s="102">
        <f t="shared" si="6"/>
        <v>4</v>
      </c>
      <c r="K24" s="103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5"/>
      <c r="BP24" s="90"/>
    </row>
    <row r="25" ht="12.75" customHeight="1" outlineLevel="1">
      <c r="A25" s="91"/>
      <c r="B25" s="92">
        <v>2.9</v>
      </c>
      <c r="C25" s="124" t="s">
        <v>77</v>
      </c>
      <c r="D25" s="94" t="s">
        <v>39</v>
      </c>
      <c r="E25" s="95"/>
      <c r="F25" s="96">
        <v>44661.0</v>
      </c>
      <c r="G25" s="99">
        <f t="shared" si="7"/>
        <v>44664</v>
      </c>
      <c r="H25" s="100">
        <v>4.0</v>
      </c>
      <c r="I25" s="101">
        <v>0.75</v>
      </c>
      <c r="J25" s="102">
        <f t="shared" si="6"/>
        <v>3</v>
      </c>
      <c r="K25" s="103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5"/>
      <c r="BP25" s="90"/>
    </row>
    <row r="26" ht="12.75" customHeight="1" outlineLevel="1">
      <c r="A26" s="91"/>
      <c r="B26" s="92" t="s">
        <v>78</v>
      </c>
      <c r="C26" s="124" t="s">
        <v>79</v>
      </c>
      <c r="D26" s="94" t="s">
        <v>39</v>
      </c>
      <c r="E26" s="95"/>
      <c r="F26" s="96">
        <v>44662.0</v>
      </c>
      <c r="G26" s="99">
        <f t="shared" si="7"/>
        <v>44677</v>
      </c>
      <c r="H26" s="100">
        <v>16.0</v>
      </c>
      <c r="I26" s="101">
        <v>0.8</v>
      </c>
      <c r="J26" s="102">
        <f t="shared" si="6"/>
        <v>12</v>
      </c>
      <c r="K26" s="103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5"/>
      <c r="BP26" s="90"/>
    </row>
    <row r="27" ht="12.75" customHeight="1">
      <c r="A27" s="110"/>
      <c r="B27" s="111">
        <v>3.0</v>
      </c>
      <c r="C27" s="112" t="s">
        <v>60</v>
      </c>
      <c r="D27" s="113" t="s">
        <v>39</v>
      </c>
      <c r="E27" s="114"/>
      <c r="F27" s="125"/>
      <c r="G27" s="125"/>
      <c r="H27" s="116"/>
      <c r="I27" s="117"/>
      <c r="J27" s="116"/>
      <c r="K27" s="118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20"/>
      <c r="BP27" s="90"/>
    </row>
    <row r="28" ht="12.75" customHeight="1" outlineLevel="1">
      <c r="A28" s="91"/>
      <c r="B28" s="92">
        <v>3.1</v>
      </c>
      <c r="C28" s="124" t="s">
        <v>62</v>
      </c>
      <c r="D28" s="94" t="s">
        <v>39</v>
      </c>
      <c r="E28" s="95"/>
      <c r="F28" s="96">
        <v>44659.0</v>
      </c>
      <c r="G28" s="99">
        <f t="shared" ref="G28:G31" si="8">IF(ISBLANK(F28)," - ",IF(H28=0,F28,F28+H28-1))</f>
        <v>44664</v>
      </c>
      <c r="H28" s="100">
        <v>6.0</v>
      </c>
      <c r="I28" s="101">
        <v>0.4</v>
      </c>
      <c r="J28" s="102">
        <f t="shared" ref="J28:J58" si="9">IF(OR(G28=0,F28=0)," - ",NETWORKDAYS(F28,G28))</f>
        <v>4</v>
      </c>
      <c r="K28" s="103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5"/>
      <c r="BP28" s="90"/>
    </row>
    <row r="29" ht="12.75" customHeight="1" outlineLevel="1">
      <c r="A29" s="91"/>
      <c r="B29" s="92">
        <v>3.2</v>
      </c>
      <c r="C29" s="126" t="s">
        <v>83</v>
      </c>
      <c r="D29" s="94" t="s">
        <v>39</v>
      </c>
      <c r="E29" s="95"/>
      <c r="F29" s="96">
        <v>44660.0</v>
      </c>
      <c r="G29" s="99">
        <f t="shared" si="8"/>
        <v>44664</v>
      </c>
      <c r="H29" s="122">
        <v>5.0</v>
      </c>
      <c r="I29" s="101">
        <v>0.85</v>
      </c>
      <c r="J29" s="102">
        <f t="shared" si="9"/>
        <v>3</v>
      </c>
      <c r="K29" s="103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5"/>
      <c r="BP29" s="90"/>
    </row>
    <row r="30" ht="12.75" customHeight="1" outlineLevel="1">
      <c r="A30" s="91"/>
      <c r="B30" s="92">
        <v>3.3</v>
      </c>
      <c r="C30" s="126" t="s">
        <v>86</v>
      </c>
      <c r="D30" s="94" t="s">
        <v>39</v>
      </c>
      <c r="E30" s="95"/>
      <c r="F30" s="96">
        <v>44661.0</v>
      </c>
      <c r="G30" s="99">
        <f t="shared" si="8"/>
        <v>44665</v>
      </c>
      <c r="H30" s="122">
        <v>5.0</v>
      </c>
      <c r="I30" s="101">
        <v>0.8</v>
      </c>
      <c r="J30" s="102">
        <f t="shared" si="9"/>
        <v>4</v>
      </c>
      <c r="K30" s="103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5"/>
      <c r="BP30" s="90"/>
    </row>
    <row r="31" ht="12.75" customHeight="1" outlineLevel="1">
      <c r="A31" s="91"/>
      <c r="B31" s="92">
        <v>3.4</v>
      </c>
      <c r="C31" s="126" t="s">
        <v>64</v>
      </c>
      <c r="D31" s="94" t="s">
        <v>39</v>
      </c>
      <c r="E31" s="95"/>
      <c r="F31" s="96">
        <v>44662.0</v>
      </c>
      <c r="G31" s="99">
        <f t="shared" si="8"/>
        <v>44667</v>
      </c>
      <c r="H31" s="122">
        <v>6.0</v>
      </c>
      <c r="I31" s="101">
        <v>0.55</v>
      </c>
      <c r="J31" s="102">
        <f t="shared" si="9"/>
        <v>5</v>
      </c>
      <c r="K31" s="103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5"/>
      <c r="BP31" s="90"/>
    </row>
    <row r="32" ht="12.75" customHeight="1" outlineLevel="1">
      <c r="A32" s="91"/>
      <c r="B32" s="92">
        <v>3.5</v>
      </c>
      <c r="C32" s="126" t="s">
        <v>87</v>
      </c>
      <c r="D32" s="94" t="s">
        <v>39</v>
      </c>
      <c r="E32" s="95"/>
      <c r="F32" s="96">
        <v>44663.0</v>
      </c>
      <c r="G32" s="99">
        <f t="shared" ref="G32:G37" si="10">IF(ISBLANK(F32)," - ",IF(H32=0,F32,F32+H32-1))</f>
        <v>44667</v>
      </c>
      <c r="H32" s="122">
        <v>5.0</v>
      </c>
      <c r="I32" s="101">
        <v>0.6</v>
      </c>
      <c r="J32" s="102">
        <f t="shared" si="9"/>
        <v>4</v>
      </c>
      <c r="K32" s="103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5"/>
      <c r="BP32" s="90"/>
    </row>
    <row r="33" ht="12.75" customHeight="1" outlineLevel="1">
      <c r="A33" s="91"/>
      <c r="B33" s="92">
        <v>3.6</v>
      </c>
      <c r="C33" s="126" t="s">
        <v>88</v>
      </c>
      <c r="D33" s="94" t="s">
        <v>39</v>
      </c>
      <c r="E33" s="95"/>
      <c r="F33" s="96">
        <v>44664.0</v>
      </c>
      <c r="G33" s="99">
        <f t="shared" si="10"/>
        <v>44668</v>
      </c>
      <c r="H33" s="100">
        <v>5.0</v>
      </c>
      <c r="I33" s="101">
        <v>0.25</v>
      </c>
      <c r="J33" s="102">
        <f t="shared" si="9"/>
        <v>3</v>
      </c>
      <c r="K33" s="103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5"/>
      <c r="BP33" s="90"/>
    </row>
    <row r="34" ht="12.75" customHeight="1" outlineLevel="1">
      <c r="A34" s="91"/>
      <c r="B34" s="92">
        <v>3.7</v>
      </c>
      <c r="C34" s="126" t="s">
        <v>66</v>
      </c>
      <c r="D34" s="94" t="s">
        <v>39</v>
      </c>
      <c r="E34" s="95"/>
      <c r="F34" s="96">
        <v>44665.0</v>
      </c>
      <c r="G34" s="99">
        <f t="shared" si="10"/>
        <v>44668</v>
      </c>
      <c r="H34" s="100">
        <v>4.0</v>
      </c>
      <c r="I34" s="101">
        <v>0.45</v>
      </c>
      <c r="J34" s="102">
        <f t="shared" si="9"/>
        <v>2</v>
      </c>
      <c r="K34" s="103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5"/>
      <c r="BP34" s="90"/>
    </row>
    <row r="35" ht="12.75" customHeight="1" outlineLevel="1">
      <c r="A35" s="91"/>
      <c r="B35" s="92">
        <v>3.8</v>
      </c>
      <c r="C35" s="126" t="s">
        <v>68</v>
      </c>
      <c r="D35" s="94" t="s">
        <v>39</v>
      </c>
      <c r="E35" s="95"/>
      <c r="F35" s="96">
        <v>44666.0</v>
      </c>
      <c r="G35" s="99">
        <f t="shared" si="10"/>
        <v>44671</v>
      </c>
      <c r="H35" s="100">
        <v>6.0</v>
      </c>
      <c r="I35" s="101">
        <v>0.55</v>
      </c>
      <c r="J35" s="102">
        <f t="shared" si="9"/>
        <v>4</v>
      </c>
      <c r="K35" s="103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5"/>
      <c r="BP35" s="90"/>
    </row>
    <row r="36" ht="12.75" customHeight="1" outlineLevel="1">
      <c r="A36" s="91"/>
      <c r="B36" s="92">
        <v>3.9</v>
      </c>
      <c r="C36" s="126" t="s">
        <v>89</v>
      </c>
      <c r="D36" s="94" t="s">
        <v>39</v>
      </c>
      <c r="E36" s="95"/>
      <c r="F36" s="96">
        <v>44667.0</v>
      </c>
      <c r="G36" s="99">
        <f t="shared" si="10"/>
        <v>44670</v>
      </c>
      <c r="H36" s="100">
        <v>4.0</v>
      </c>
      <c r="I36" s="101">
        <v>0.9</v>
      </c>
      <c r="J36" s="102">
        <f t="shared" si="9"/>
        <v>2</v>
      </c>
      <c r="K36" s="103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5"/>
      <c r="BP36" s="90"/>
    </row>
    <row r="37" ht="12.75" customHeight="1" outlineLevel="1">
      <c r="A37" s="91"/>
      <c r="B37" s="92">
        <v>3.1</v>
      </c>
      <c r="C37" s="126" t="s">
        <v>90</v>
      </c>
      <c r="D37" s="94" t="s">
        <v>39</v>
      </c>
      <c r="E37" s="95"/>
      <c r="F37" s="96">
        <v>44668.0</v>
      </c>
      <c r="G37" s="99">
        <f t="shared" si="10"/>
        <v>44674</v>
      </c>
      <c r="H37" s="100">
        <v>7.0</v>
      </c>
      <c r="I37" s="101">
        <v>0.6</v>
      </c>
      <c r="J37" s="102">
        <f t="shared" si="9"/>
        <v>5</v>
      </c>
      <c r="K37" s="103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5"/>
      <c r="BP37" s="90"/>
    </row>
    <row r="38" ht="12.75" customHeight="1">
      <c r="A38" s="110"/>
      <c r="B38" s="111">
        <v>4.0</v>
      </c>
      <c r="C38" s="112" t="s">
        <v>70</v>
      </c>
      <c r="D38" s="113" t="s">
        <v>39</v>
      </c>
      <c r="E38" s="114"/>
      <c r="F38" s="125"/>
      <c r="G38" s="125"/>
      <c r="H38" s="116"/>
      <c r="I38" s="117"/>
      <c r="J38" s="116" t="str">
        <f t="shared" si="9"/>
        <v> - </v>
      </c>
      <c r="K38" s="118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M38" s="119"/>
      <c r="BN38" s="119"/>
      <c r="BO38" s="120"/>
      <c r="BP38" s="90"/>
    </row>
    <row r="39" ht="12.75" customHeight="1" outlineLevel="1">
      <c r="A39" s="91"/>
      <c r="B39" s="92">
        <v>4.1</v>
      </c>
      <c r="C39" s="124" t="s">
        <v>72</v>
      </c>
      <c r="D39" s="94" t="s">
        <v>39</v>
      </c>
      <c r="E39" s="95"/>
      <c r="F39" s="96">
        <v>44659.0</v>
      </c>
      <c r="G39" s="99">
        <f t="shared" ref="G39:G42" si="11">IF(ISBLANK(F39)," - ",IF(H39=0,F39,F39+H39-1))</f>
        <v>44663</v>
      </c>
      <c r="H39" s="122">
        <v>5.0</v>
      </c>
      <c r="I39" s="101">
        <v>0.4</v>
      </c>
      <c r="J39" s="102">
        <f t="shared" si="9"/>
        <v>3</v>
      </c>
      <c r="K39" s="103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5"/>
      <c r="BP39" s="90"/>
    </row>
    <row r="40" ht="12.75" customHeight="1" outlineLevel="1">
      <c r="A40" s="91"/>
      <c r="B40" s="92">
        <v>4.2</v>
      </c>
      <c r="C40" s="126" t="s">
        <v>91</v>
      </c>
      <c r="D40" s="94" t="s">
        <v>39</v>
      </c>
      <c r="E40" s="95"/>
      <c r="F40" s="96">
        <v>44660.0</v>
      </c>
      <c r="G40" s="99">
        <f t="shared" si="11"/>
        <v>44664</v>
      </c>
      <c r="H40" s="122">
        <v>5.0</v>
      </c>
      <c r="I40" s="101">
        <v>0.85</v>
      </c>
      <c r="J40" s="102">
        <f t="shared" si="9"/>
        <v>3</v>
      </c>
      <c r="K40" s="103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5"/>
      <c r="BP40" s="90"/>
    </row>
    <row r="41" ht="12.75" customHeight="1" outlineLevel="1">
      <c r="A41" s="91"/>
      <c r="B41" s="92">
        <v>4.3</v>
      </c>
      <c r="C41" s="126" t="s">
        <v>92</v>
      </c>
      <c r="D41" s="94" t="s">
        <v>39</v>
      </c>
      <c r="E41" s="95"/>
      <c r="F41" s="96">
        <v>44661.0</v>
      </c>
      <c r="G41" s="99">
        <f t="shared" si="11"/>
        <v>44664</v>
      </c>
      <c r="H41" s="100">
        <v>4.0</v>
      </c>
      <c r="I41" s="101">
        <v>0.8</v>
      </c>
      <c r="J41" s="102">
        <f t="shared" si="9"/>
        <v>3</v>
      </c>
      <c r="K41" s="103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5"/>
      <c r="BP41" s="90"/>
    </row>
    <row r="42" ht="12.75" customHeight="1" outlineLevel="1">
      <c r="A42" s="91"/>
      <c r="B42" s="92">
        <v>4.4</v>
      </c>
      <c r="C42" s="126" t="s">
        <v>93</v>
      </c>
      <c r="D42" s="94" t="s">
        <v>39</v>
      </c>
      <c r="E42" s="95"/>
      <c r="F42" s="96">
        <v>44662.0</v>
      </c>
      <c r="G42" s="99">
        <f t="shared" si="11"/>
        <v>44667</v>
      </c>
      <c r="H42" s="122">
        <v>6.0</v>
      </c>
      <c r="I42" s="101">
        <v>0.55</v>
      </c>
      <c r="J42" s="102">
        <f t="shared" si="9"/>
        <v>5</v>
      </c>
      <c r="K42" s="103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5"/>
      <c r="BP42" s="90"/>
    </row>
    <row r="43" ht="12.75" customHeight="1" outlineLevel="1">
      <c r="A43" s="91"/>
      <c r="B43" s="92">
        <v>4.5</v>
      </c>
      <c r="C43" s="126" t="s">
        <v>94</v>
      </c>
      <c r="D43" s="94" t="s">
        <v>39</v>
      </c>
      <c r="E43" s="95"/>
      <c r="F43" s="96">
        <v>44663.0</v>
      </c>
      <c r="G43" s="99">
        <f t="shared" ref="G43:G48" si="12">IF(ISBLANK(F43)," - ",IF(H43=0,F43,F43+H43-1))</f>
        <v>44667</v>
      </c>
      <c r="H43" s="122">
        <v>5.0</v>
      </c>
      <c r="I43" s="101">
        <v>0.6</v>
      </c>
      <c r="J43" s="102">
        <f t="shared" si="9"/>
        <v>4</v>
      </c>
      <c r="K43" s="103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5"/>
      <c r="BP43" s="90"/>
    </row>
    <row r="44" ht="12.75" customHeight="1" outlineLevel="1">
      <c r="A44" s="91"/>
      <c r="B44" s="92">
        <v>4.6</v>
      </c>
      <c r="C44" s="126" t="s">
        <v>73</v>
      </c>
      <c r="D44" s="94" t="s">
        <v>39</v>
      </c>
      <c r="E44" s="95"/>
      <c r="F44" s="96">
        <v>44664.0</v>
      </c>
      <c r="G44" s="99">
        <f t="shared" si="12"/>
        <v>44668</v>
      </c>
      <c r="H44" s="100">
        <v>5.0</v>
      </c>
      <c r="I44" s="101">
        <v>0.4</v>
      </c>
      <c r="J44" s="102">
        <f t="shared" si="9"/>
        <v>3</v>
      </c>
      <c r="K44" s="103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5"/>
      <c r="BP44" s="90"/>
    </row>
    <row r="45" ht="12.75" customHeight="1" outlineLevel="1">
      <c r="A45" s="91"/>
      <c r="B45" s="92">
        <v>4.7</v>
      </c>
      <c r="C45" s="126" t="s">
        <v>75</v>
      </c>
      <c r="D45" s="94" t="s">
        <v>39</v>
      </c>
      <c r="E45" s="95"/>
      <c r="F45" s="96">
        <v>44665.0</v>
      </c>
      <c r="G45" s="99">
        <f t="shared" si="12"/>
        <v>44668</v>
      </c>
      <c r="H45" s="100">
        <v>4.0</v>
      </c>
      <c r="I45" s="101">
        <v>0.5</v>
      </c>
      <c r="J45" s="102">
        <f t="shared" si="9"/>
        <v>2</v>
      </c>
      <c r="K45" s="103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5"/>
      <c r="BP45" s="90"/>
    </row>
    <row r="46" ht="12.75" customHeight="1" outlineLevel="1">
      <c r="A46" s="91"/>
      <c r="B46" s="92">
        <v>4.8</v>
      </c>
      <c r="C46" s="126" t="s">
        <v>95</v>
      </c>
      <c r="D46" s="94" t="s">
        <v>39</v>
      </c>
      <c r="E46" s="95"/>
      <c r="F46" s="96">
        <v>44666.0</v>
      </c>
      <c r="G46" s="99">
        <f t="shared" si="12"/>
        <v>44671</v>
      </c>
      <c r="H46" s="100">
        <v>6.0</v>
      </c>
      <c r="I46" s="101">
        <v>0.45</v>
      </c>
      <c r="J46" s="102">
        <f t="shared" si="9"/>
        <v>4</v>
      </c>
      <c r="K46" s="103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5"/>
      <c r="BP46" s="90"/>
    </row>
    <row r="47" ht="12.75" customHeight="1" outlineLevel="1">
      <c r="A47" s="91"/>
      <c r="B47" s="92">
        <v>4.9</v>
      </c>
      <c r="C47" s="126" t="s">
        <v>90</v>
      </c>
      <c r="D47" s="94" t="s">
        <v>39</v>
      </c>
      <c r="E47" s="95"/>
      <c r="F47" s="96">
        <v>44667.0</v>
      </c>
      <c r="G47" s="99">
        <f t="shared" si="12"/>
        <v>44670</v>
      </c>
      <c r="H47" s="100">
        <v>4.0</v>
      </c>
      <c r="I47" s="101">
        <v>0.3</v>
      </c>
      <c r="J47" s="102">
        <f t="shared" si="9"/>
        <v>2</v>
      </c>
      <c r="K47" s="103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04"/>
      <c r="BL47" s="104"/>
      <c r="BM47" s="104"/>
      <c r="BN47" s="104"/>
      <c r="BO47" s="105"/>
      <c r="BP47" s="90"/>
    </row>
    <row r="48" ht="12.75" customHeight="1" outlineLevel="1">
      <c r="A48" s="91"/>
      <c r="B48" s="92" t="s">
        <v>96</v>
      </c>
      <c r="C48" s="126" t="s">
        <v>97</v>
      </c>
      <c r="D48" s="94" t="s">
        <v>39</v>
      </c>
      <c r="E48" s="95"/>
      <c r="F48" s="96">
        <v>44668.0</v>
      </c>
      <c r="G48" s="99">
        <f t="shared" si="12"/>
        <v>44672</v>
      </c>
      <c r="H48" s="100">
        <v>5.0</v>
      </c>
      <c r="I48" s="101">
        <v>0.4</v>
      </c>
      <c r="J48" s="102">
        <f t="shared" si="9"/>
        <v>4</v>
      </c>
      <c r="K48" s="103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04"/>
      <c r="BN48" s="104"/>
      <c r="BO48" s="105"/>
      <c r="BP48" s="90"/>
    </row>
    <row r="49" ht="12.75" customHeight="1">
      <c r="A49" s="110"/>
      <c r="B49" s="111">
        <v>5.0</v>
      </c>
      <c r="C49" s="112" t="s">
        <v>76</v>
      </c>
      <c r="D49" s="113" t="s">
        <v>39</v>
      </c>
      <c r="E49" s="114"/>
      <c r="F49" s="125"/>
      <c r="G49" s="125"/>
      <c r="H49" s="116"/>
      <c r="I49" s="117"/>
      <c r="J49" s="116" t="str">
        <f t="shared" si="9"/>
        <v> - </v>
      </c>
      <c r="K49" s="118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20"/>
      <c r="BP49" s="90"/>
    </row>
    <row r="50" ht="12.75" customHeight="1" outlineLevel="1">
      <c r="A50" s="91"/>
      <c r="B50" s="92">
        <v>5.1</v>
      </c>
      <c r="C50" s="126" t="s">
        <v>80</v>
      </c>
      <c r="D50" s="94" t="s">
        <v>39</v>
      </c>
      <c r="E50" s="95"/>
      <c r="F50" s="96">
        <v>44665.0</v>
      </c>
      <c r="G50" s="99">
        <f t="shared" ref="G50:G53" si="13">IF(ISBLANK(F50)," - ",IF(H50=0,F50,F50+H50-1))</f>
        <v>44674</v>
      </c>
      <c r="H50" s="122">
        <v>10.0</v>
      </c>
      <c r="I50" s="101">
        <v>0.15</v>
      </c>
      <c r="J50" s="102">
        <f t="shared" si="9"/>
        <v>7</v>
      </c>
      <c r="K50" s="103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4"/>
      <c r="BK50" s="104"/>
      <c r="BL50" s="104"/>
      <c r="BM50" s="104"/>
      <c r="BN50" s="104"/>
      <c r="BO50" s="105"/>
      <c r="BP50" s="90"/>
    </row>
    <row r="51" ht="12.75" customHeight="1" outlineLevel="1">
      <c r="A51" s="91"/>
      <c r="B51" s="92">
        <v>5.2</v>
      </c>
      <c r="C51" s="126" t="s">
        <v>81</v>
      </c>
      <c r="D51" s="94" t="s">
        <v>39</v>
      </c>
      <c r="E51" s="95"/>
      <c r="F51" s="96">
        <v>44666.0</v>
      </c>
      <c r="G51" s="99">
        <f t="shared" si="13"/>
        <v>44675</v>
      </c>
      <c r="H51" s="122">
        <v>10.0</v>
      </c>
      <c r="I51" s="101">
        <v>0.65</v>
      </c>
      <c r="J51" s="102">
        <f t="shared" si="9"/>
        <v>6</v>
      </c>
      <c r="K51" s="103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5"/>
      <c r="BP51" s="90"/>
    </row>
    <row r="52" ht="12.75" customHeight="1" outlineLevel="1">
      <c r="A52" s="91"/>
      <c r="B52" s="92">
        <v>5.3</v>
      </c>
      <c r="C52" s="126" t="s">
        <v>98</v>
      </c>
      <c r="D52" s="94" t="s">
        <v>39</v>
      </c>
      <c r="E52" s="95"/>
      <c r="F52" s="96">
        <v>44667.0</v>
      </c>
      <c r="G52" s="99">
        <f t="shared" si="13"/>
        <v>44676</v>
      </c>
      <c r="H52" s="122">
        <v>10.0</v>
      </c>
      <c r="I52" s="101">
        <v>0.4</v>
      </c>
      <c r="J52" s="102">
        <f t="shared" si="9"/>
        <v>6</v>
      </c>
      <c r="K52" s="103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105"/>
      <c r="BP52" s="90"/>
    </row>
    <row r="53" ht="12.75" customHeight="1" outlineLevel="1">
      <c r="A53" s="91"/>
      <c r="B53" s="92">
        <v>5.4</v>
      </c>
      <c r="C53" s="126" t="s">
        <v>99</v>
      </c>
      <c r="D53" s="94" t="s">
        <v>39</v>
      </c>
      <c r="E53" s="95"/>
      <c r="F53" s="96">
        <v>44668.0</v>
      </c>
      <c r="G53" s="99">
        <f t="shared" si="13"/>
        <v>44669</v>
      </c>
      <c r="H53" s="122">
        <v>2.0</v>
      </c>
      <c r="I53" s="101">
        <v>0.7</v>
      </c>
      <c r="J53" s="102">
        <f t="shared" si="9"/>
        <v>1</v>
      </c>
      <c r="K53" s="103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5"/>
      <c r="BP53" s="90"/>
    </row>
    <row r="54" ht="12.75" customHeight="1" outlineLevel="1">
      <c r="A54" s="91"/>
      <c r="B54" s="92">
        <v>5.5</v>
      </c>
      <c r="C54" s="126" t="s">
        <v>100</v>
      </c>
      <c r="D54" s="94" t="s">
        <v>39</v>
      </c>
      <c r="E54" s="95"/>
      <c r="F54" s="96">
        <v>44669.0</v>
      </c>
      <c r="G54" s="99">
        <f t="shared" ref="G54:G58" si="14">IF(ISBLANK(F54)," - ",IF(H54=0,F54,F54+H54-1))</f>
        <v>44670</v>
      </c>
      <c r="H54" s="122">
        <v>2.0</v>
      </c>
      <c r="I54" s="101">
        <v>0.8</v>
      </c>
      <c r="J54" s="102">
        <f t="shared" si="9"/>
        <v>2</v>
      </c>
      <c r="K54" s="103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5"/>
      <c r="BP54" s="90"/>
    </row>
    <row r="55" ht="12.75" customHeight="1" outlineLevel="1">
      <c r="A55" s="91"/>
      <c r="B55" s="92">
        <v>5.6</v>
      </c>
      <c r="C55" s="126" t="s">
        <v>101</v>
      </c>
      <c r="D55" s="94" t="s">
        <v>39</v>
      </c>
      <c r="E55" s="95"/>
      <c r="F55" s="96">
        <v>44670.0</v>
      </c>
      <c r="G55" s="99">
        <f t="shared" si="14"/>
        <v>44673</v>
      </c>
      <c r="H55" s="147">
        <v>4.0</v>
      </c>
      <c r="I55" s="127">
        <v>0.3</v>
      </c>
      <c r="J55" s="102">
        <f t="shared" si="9"/>
        <v>4</v>
      </c>
      <c r="K55" s="103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5"/>
      <c r="BP55" s="90"/>
    </row>
    <row r="56" ht="12.75" customHeight="1" outlineLevel="1">
      <c r="A56" s="91"/>
      <c r="B56" s="92">
        <v>5.7</v>
      </c>
      <c r="C56" s="126" t="s">
        <v>102</v>
      </c>
      <c r="D56" s="94" t="s">
        <v>39</v>
      </c>
      <c r="E56" s="95"/>
      <c r="F56" s="96">
        <v>44671.0</v>
      </c>
      <c r="G56" s="99">
        <f t="shared" si="14"/>
        <v>44675</v>
      </c>
      <c r="H56" s="147">
        <v>5.0</v>
      </c>
      <c r="I56" s="127">
        <v>0.45</v>
      </c>
      <c r="J56" s="102">
        <f t="shared" si="9"/>
        <v>3</v>
      </c>
      <c r="K56" s="103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5"/>
      <c r="BP56" s="90"/>
    </row>
    <row r="57" ht="12.75" customHeight="1" outlineLevel="1">
      <c r="A57" s="91"/>
      <c r="B57" s="92">
        <v>5.8</v>
      </c>
      <c r="C57" s="126" t="s">
        <v>103</v>
      </c>
      <c r="D57" s="94" t="s">
        <v>39</v>
      </c>
      <c r="E57" s="95"/>
      <c r="F57" s="96">
        <v>44672.0</v>
      </c>
      <c r="G57" s="99">
        <f t="shared" si="14"/>
        <v>44677</v>
      </c>
      <c r="H57" s="147">
        <v>6.0</v>
      </c>
      <c r="I57" s="127">
        <v>0.4</v>
      </c>
      <c r="J57" s="102">
        <f t="shared" si="9"/>
        <v>4</v>
      </c>
      <c r="K57" s="103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5"/>
      <c r="BP57" s="90"/>
    </row>
    <row r="58" ht="12.75" customHeight="1" outlineLevel="1">
      <c r="A58" s="91"/>
      <c r="B58" s="92">
        <v>5.9</v>
      </c>
      <c r="C58" s="126" t="s">
        <v>104</v>
      </c>
      <c r="D58" s="94" t="s">
        <v>39</v>
      </c>
      <c r="E58" s="95"/>
      <c r="F58" s="96">
        <v>44673.0</v>
      </c>
      <c r="G58" s="99">
        <f t="shared" si="14"/>
        <v>44677</v>
      </c>
      <c r="H58" s="147">
        <v>5.0</v>
      </c>
      <c r="I58" s="127">
        <v>0.5</v>
      </c>
      <c r="J58" s="102">
        <f t="shared" si="9"/>
        <v>3</v>
      </c>
      <c r="K58" s="103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5"/>
      <c r="BP58" s="90"/>
    </row>
    <row r="59" ht="12.75" customHeight="1" outlineLevel="1">
      <c r="A59" s="91"/>
      <c r="B59" s="128" t="s">
        <v>84</v>
      </c>
      <c r="C59" s="129" t="s">
        <v>97</v>
      </c>
      <c r="D59" s="130" t="s">
        <v>39</v>
      </c>
      <c r="E59" s="131"/>
      <c r="F59" s="132">
        <v>44674.0</v>
      </c>
      <c r="G59" s="133">
        <f>IF(ISBLANK(F59)," - ",IF(H59=0,F59,F59+$H$59-1))</f>
        <v>44677</v>
      </c>
      <c r="H59" s="134">
        <v>4.0</v>
      </c>
      <c r="I59" s="135">
        <v>0.7</v>
      </c>
      <c r="J59" s="136">
        <f>IF(OR(G59=0,F59=0)," - ",NETWORKDAYS(F59,G59))</f>
        <v>2</v>
      </c>
      <c r="K59" s="137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9"/>
      <c r="BP59" s="90"/>
    </row>
    <row r="60" ht="12.75" customHeight="1">
      <c r="A60" s="90"/>
      <c r="B60" s="140"/>
      <c r="C60" s="141"/>
      <c r="D60" s="141"/>
      <c r="E60" s="142"/>
      <c r="F60" s="143"/>
      <c r="G60" s="143"/>
      <c r="H60" s="144"/>
      <c r="I60" s="145"/>
      <c r="J60" s="144"/>
      <c r="K60" s="146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0"/>
      <c r="BC60" s="140"/>
      <c r="BD60" s="140"/>
      <c r="BE60" s="140"/>
      <c r="BF60" s="140"/>
      <c r="BG60" s="140"/>
      <c r="BH60" s="140"/>
      <c r="BI60" s="140"/>
      <c r="BJ60" s="140"/>
      <c r="BK60" s="140"/>
      <c r="BL60" s="140"/>
      <c r="BM60" s="140"/>
      <c r="BN60" s="140"/>
      <c r="BO60" s="140"/>
      <c r="BP60" s="90"/>
    </row>
  </sheetData>
  <mergeCells count="19">
    <mergeCell ref="AU2:BA2"/>
    <mergeCell ref="BB2:BH2"/>
    <mergeCell ref="BI2:BO2"/>
    <mergeCell ref="L2:R2"/>
    <mergeCell ref="L3:R3"/>
    <mergeCell ref="S3:Y3"/>
    <mergeCell ref="Z3:AF3"/>
    <mergeCell ref="AG3:AM3"/>
    <mergeCell ref="AN3:AT3"/>
    <mergeCell ref="AU3:BA3"/>
    <mergeCell ref="BB3:BH3"/>
    <mergeCell ref="BI3:BO3"/>
    <mergeCell ref="D2:F2"/>
    <mergeCell ref="I2:K2"/>
    <mergeCell ref="S2:Y2"/>
    <mergeCell ref="Z2:AF2"/>
    <mergeCell ref="AG2:AM2"/>
    <mergeCell ref="AN2:AT2"/>
    <mergeCell ref="D3:F3"/>
  </mergeCells>
  <conditionalFormatting sqref="L4:BP5">
    <cfRule type="expression" dxfId="4" priority="1">
      <formula>L$4=TODAY()</formula>
    </cfRule>
  </conditionalFormatting>
  <conditionalFormatting sqref="L6:BP60">
    <cfRule type="expression" dxfId="9" priority="2">
      <formula>AND($F6&lt;=L$4,ROUNDDOWN(($G6-$F6+1)*$I6,0)+$F6-1&gt;=L$4)</formula>
    </cfRule>
  </conditionalFormatting>
  <conditionalFormatting sqref="L6:BP60">
    <cfRule type="expression" dxfId="10" priority="3">
      <formula>AND(NOT(ISBLANK($F6)),$F6&lt;=L$4,$G6&gt;=L$4)</formula>
    </cfRule>
  </conditionalFormatting>
  <conditionalFormatting sqref="L4:BP60">
    <cfRule type="expression" dxfId="7" priority="4">
      <formula>L$4=TODAY()</formula>
    </cfRule>
  </conditionalFormatting>
  <conditionalFormatting sqref="D2:F2 I2:K2">
    <cfRule type="notContainsBlanks" dxfId="8" priority="5">
      <formula>LEN(TRIM(D2))&gt;0</formula>
    </cfRule>
  </conditionalFormatting>
  <dataValidations>
    <dataValidation type="custom" allowBlank="1" showDropDown="1" sqref="F1:G1 F7:G60">
      <formula1>OR(NOT(ISERROR(DATEVALUE(F1))), AND(ISNUMBER(F1), LEFT(CELL("format", F1))="D"))</formula1>
    </dataValidation>
  </dataValidations>
  <printOptions/>
  <pageMargins bottom="0.5" footer="0.0" header="0.0" left="0.25" right="0.25" top="0.5"/>
  <pageSetup fitToHeight="0" paperSize="3" orientation="landscape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Row="1"/>
  <cols>
    <col customWidth="1" min="1" max="1" width="3.0"/>
    <col customWidth="1" min="2" max="2" width="5.13"/>
    <col customWidth="1" min="3" max="3" width="26.38"/>
    <col customWidth="1" min="4" max="4" width="12.38"/>
    <col customWidth="1" hidden="1" min="5" max="5" width="11.38"/>
    <col customWidth="1" min="6" max="6" width="10.5"/>
    <col customWidth="1" min="7" max="7" width="13.63"/>
    <col customWidth="1" min="8" max="8" width="9.88"/>
    <col customWidth="1" min="9" max="9" width="5.88"/>
    <col customWidth="1" min="10" max="10" width="7.25"/>
    <col customWidth="1" min="11" max="11" width="1.63"/>
    <col customWidth="1" min="12" max="66" width="2.13"/>
    <col customWidth="1" min="67" max="68" width="2.63"/>
  </cols>
  <sheetData>
    <row r="1" ht="12.75" customHeight="1">
      <c r="A1" s="5"/>
      <c r="B1" s="7"/>
      <c r="C1" s="9"/>
      <c r="D1" s="9"/>
      <c r="E1" s="9"/>
      <c r="F1" s="12"/>
      <c r="G1" s="12"/>
      <c r="H1" s="9"/>
      <c r="I1" s="14"/>
      <c r="J1" s="9" t="str">
        <f>TEXT(D2,"MMMMMM")</f>
        <v>January</v>
      </c>
      <c r="K1" s="9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30"/>
    </row>
    <row r="2" ht="12.75" customHeight="1">
      <c r="A2" s="30"/>
      <c r="B2" s="32"/>
      <c r="C2" s="33" t="s">
        <v>7</v>
      </c>
      <c r="D2" s="39">
        <v>45297.0</v>
      </c>
      <c r="E2" s="35"/>
      <c r="F2" s="35"/>
      <c r="G2" s="36"/>
      <c r="H2" s="37" t="s">
        <v>8</v>
      </c>
      <c r="I2" s="38">
        <v>1.0</v>
      </c>
      <c r="J2" s="35"/>
      <c r="K2" s="35"/>
      <c r="L2" s="42" t="str">
        <f>"Hafta "&amp;(L4-($D$2-WEEKDAY($D$2,1)+2))/7+1</f>
        <v>Hafta 1</v>
      </c>
      <c r="M2" s="41"/>
      <c r="N2" s="41"/>
      <c r="O2" s="41"/>
      <c r="P2" s="41"/>
      <c r="Q2" s="41"/>
      <c r="R2" s="43"/>
      <c r="S2" s="42" t="str">
        <f>"Hafta "&amp;(S4-($D$2-WEEKDAY($D$2,1)+2))/7+1</f>
        <v>Hafta 2</v>
      </c>
      <c r="T2" s="41"/>
      <c r="U2" s="41"/>
      <c r="V2" s="41"/>
      <c r="W2" s="41"/>
      <c r="X2" s="41"/>
      <c r="Y2" s="43"/>
      <c r="Z2" s="42" t="str">
        <f>"Hafta "&amp;(Z4-($D$2-WEEKDAY($D$2,1)+2))/7+1</f>
        <v>Hafta 3</v>
      </c>
      <c r="AA2" s="41"/>
      <c r="AB2" s="41"/>
      <c r="AC2" s="41"/>
      <c r="AD2" s="41"/>
      <c r="AE2" s="41"/>
      <c r="AF2" s="43"/>
      <c r="AG2" s="42" t="str">
        <f>"Hafta "&amp;(AG4-($D$2-WEEKDAY($D$2,1)+2))/7+1</f>
        <v>Hafta 4</v>
      </c>
      <c r="AH2" s="41"/>
      <c r="AI2" s="41"/>
      <c r="AJ2" s="41"/>
      <c r="AK2" s="41"/>
      <c r="AL2" s="41"/>
      <c r="AM2" s="43"/>
      <c r="AN2" s="42" t="str">
        <f>"Hafta "&amp;(AN4-($D$2-WEEKDAY($D$2,1)+2))/7+1</f>
        <v>Hafta 5</v>
      </c>
      <c r="AO2" s="41"/>
      <c r="AP2" s="41"/>
      <c r="AQ2" s="41"/>
      <c r="AR2" s="41"/>
      <c r="AS2" s="41"/>
      <c r="AT2" s="43"/>
      <c r="AU2" s="42" t="str">
        <f>"Hafta "&amp;(AU4-($D$2-WEEKDAY($D$2,1)+2))/7+1</f>
        <v>Hafta 6</v>
      </c>
      <c r="AV2" s="41"/>
      <c r="AW2" s="41"/>
      <c r="AX2" s="41"/>
      <c r="AY2" s="41"/>
      <c r="AZ2" s="41"/>
      <c r="BA2" s="43"/>
      <c r="BB2" s="42" t="str">
        <f>"Hafta "&amp;(BB4-($D$2-WEEKDAY($D$2,1)+2))/7+1</f>
        <v>Hafta 7</v>
      </c>
      <c r="BC2" s="41"/>
      <c r="BD2" s="41"/>
      <c r="BE2" s="41"/>
      <c r="BF2" s="41"/>
      <c r="BG2" s="41"/>
      <c r="BH2" s="43"/>
      <c r="BI2" s="42" t="str">
        <f>"Hafta "&amp;(BI4-($D$2-WEEKDAY($D$2,1)+2))/7+1</f>
        <v>Hafta 8</v>
      </c>
      <c r="BJ2" s="41"/>
      <c r="BK2" s="41"/>
      <c r="BL2" s="41"/>
      <c r="BM2" s="41"/>
      <c r="BN2" s="41"/>
      <c r="BO2" s="44"/>
      <c r="BP2" s="45"/>
    </row>
    <row r="3" ht="17.25" customHeight="1">
      <c r="A3" s="30"/>
      <c r="B3" s="46"/>
      <c r="C3" s="47" t="s">
        <v>17</v>
      </c>
      <c r="D3" s="48"/>
      <c r="E3" s="49"/>
      <c r="F3" s="49"/>
      <c r="G3" s="50"/>
      <c r="H3" s="51"/>
      <c r="I3" s="52"/>
      <c r="J3" s="51"/>
      <c r="K3" s="51"/>
      <c r="L3" s="62">
        <f>L4</f>
        <v>45292</v>
      </c>
      <c r="R3" s="54"/>
      <c r="S3" s="62">
        <f>S4</f>
        <v>45299</v>
      </c>
      <c r="Y3" s="54"/>
      <c r="Z3" s="62">
        <f>Z4</f>
        <v>45306</v>
      </c>
      <c r="AF3" s="54"/>
      <c r="AG3" s="62">
        <f>AG4</f>
        <v>45313</v>
      </c>
      <c r="AM3" s="54"/>
      <c r="AN3" s="62">
        <f>AN4</f>
        <v>45320</v>
      </c>
      <c r="AT3" s="54"/>
      <c r="AU3" s="62">
        <f>AU4</f>
        <v>45327</v>
      </c>
      <c r="BA3" s="54"/>
      <c r="BB3" s="62">
        <f>BB4</f>
        <v>45334</v>
      </c>
      <c r="BH3" s="54"/>
      <c r="BI3" s="62">
        <f>BI4</f>
        <v>45341</v>
      </c>
      <c r="BO3" s="55"/>
      <c r="BP3" s="56"/>
    </row>
    <row r="4" ht="12.75" customHeight="1">
      <c r="A4" s="30"/>
      <c r="B4" s="46"/>
      <c r="C4" s="57" t="s">
        <v>26</v>
      </c>
      <c r="D4" s="48" t="s">
        <v>28</v>
      </c>
      <c r="E4" s="49"/>
      <c r="F4" s="58"/>
      <c r="G4" s="50"/>
      <c r="H4" s="51"/>
      <c r="I4" s="59"/>
      <c r="J4" s="51"/>
      <c r="K4" s="51"/>
      <c r="L4" s="60">
        <f>$D$2-WEEKDAY(D2,1)+2+7*(I2-1)</f>
        <v>45292</v>
      </c>
      <c r="M4" s="61">
        <f t="shared" ref="M4:BO4" si="1">L4+1</f>
        <v>45293</v>
      </c>
      <c r="N4" s="61">
        <f t="shared" si="1"/>
        <v>45294</v>
      </c>
      <c r="O4" s="61">
        <f t="shared" si="1"/>
        <v>45295</v>
      </c>
      <c r="P4" s="61">
        <f t="shared" si="1"/>
        <v>45296</v>
      </c>
      <c r="Q4" s="61">
        <f t="shared" si="1"/>
        <v>45297</v>
      </c>
      <c r="R4" s="63">
        <f t="shared" si="1"/>
        <v>45298</v>
      </c>
      <c r="S4" s="60">
        <f t="shared" si="1"/>
        <v>45299</v>
      </c>
      <c r="T4" s="61">
        <f t="shared" si="1"/>
        <v>45300</v>
      </c>
      <c r="U4" s="61">
        <f t="shared" si="1"/>
        <v>45301</v>
      </c>
      <c r="V4" s="61">
        <f t="shared" si="1"/>
        <v>45302</v>
      </c>
      <c r="W4" s="61">
        <f t="shared" si="1"/>
        <v>45303</v>
      </c>
      <c r="X4" s="61">
        <f t="shared" si="1"/>
        <v>45304</v>
      </c>
      <c r="Y4" s="63">
        <f t="shared" si="1"/>
        <v>45305</v>
      </c>
      <c r="Z4" s="60">
        <f t="shared" si="1"/>
        <v>45306</v>
      </c>
      <c r="AA4" s="61">
        <f t="shared" si="1"/>
        <v>45307</v>
      </c>
      <c r="AB4" s="61">
        <f t="shared" si="1"/>
        <v>45308</v>
      </c>
      <c r="AC4" s="61">
        <f t="shared" si="1"/>
        <v>45309</v>
      </c>
      <c r="AD4" s="61">
        <f t="shared" si="1"/>
        <v>45310</v>
      </c>
      <c r="AE4" s="61">
        <f t="shared" si="1"/>
        <v>45311</v>
      </c>
      <c r="AF4" s="63">
        <f t="shared" si="1"/>
        <v>45312</v>
      </c>
      <c r="AG4" s="60">
        <f t="shared" si="1"/>
        <v>45313</v>
      </c>
      <c r="AH4" s="61">
        <f t="shared" si="1"/>
        <v>45314</v>
      </c>
      <c r="AI4" s="61">
        <f t="shared" si="1"/>
        <v>45315</v>
      </c>
      <c r="AJ4" s="61">
        <f t="shared" si="1"/>
        <v>45316</v>
      </c>
      <c r="AK4" s="61">
        <f t="shared" si="1"/>
        <v>45317</v>
      </c>
      <c r="AL4" s="61">
        <f t="shared" si="1"/>
        <v>45318</v>
      </c>
      <c r="AM4" s="63">
        <f t="shared" si="1"/>
        <v>45319</v>
      </c>
      <c r="AN4" s="60">
        <f t="shared" si="1"/>
        <v>45320</v>
      </c>
      <c r="AO4" s="61">
        <f t="shared" si="1"/>
        <v>45321</v>
      </c>
      <c r="AP4" s="61">
        <f t="shared" si="1"/>
        <v>45322</v>
      </c>
      <c r="AQ4" s="61">
        <f t="shared" si="1"/>
        <v>45323</v>
      </c>
      <c r="AR4" s="61">
        <f t="shared" si="1"/>
        <v>45324</v>
      </c>
      <c r="AS4" s="61">
        <f t="shared" si="1"/>
        <v>45325</v>
      </c>
      <c r="AT4" s="63">
        <f t="shared" si="1"/>
        <v>45326</v>
      </c>
      <c r="AU4" s="60">
        <f t="shared" si="1"/>
        <v>45327</v>
      </c>
      <c r="AV4" s="61">
        <f t="shared" si="1"/>
        <v>45328</v>
      </c>
      <c r="AW4" s="61">
        <f t="shared" si="1"/>
        <v>45329</v>
      </c>
      <c r="AX4" s="61">
        <f t="shared" si="1"/>
        <v>45330</v>
      </c>
      <c r="AY4" s="61">
        <f t="shared" si="1"/>
        <v>45331</v>
      </c>
      <c r="AZ4" s="61">
        <f t="shared" si="1"/>
        <v>45332</v>
      </c>
      <c r="BA4" s="63">
        <f t="shared" si="1"/>
        <v>45333</v>
      </c>
      <c r="BB4" s="60">
        <f t="shared" si="1"/>
        <v>45334</v>
      </c>
      <c r="BC4" s="61">
        <f t="shared" si="1"/>
        <v>45335</v>
      </c>
      <c r="BD4" s="61">
        <f t="shared" si="1"/>
        <v>45336</v>
      </c>
      <c r="BE4" s="61">
        <f t="shared" si="1"/>
        <v>45337</v>
      </c>
      <c r="BF4" s="61">
        <f t="shared" si="1"/>
        <v>45338</v>
      </c>
      <c r="BG4" s="61">
        <f t="shared" si="1"/>
        <v>45339</v>
      </c>
      <c r="BH4" s="63">
        <f t="shared" si="1"/>
        <v>45340</v>
      </c>
      <c r="BI4" s="60">
        <f t="shared" si="1"/>
        <v>45341</v>
      </c>
      <c r="BJ4" s="61">
        <f t="shared" si="1"/>
        <v>45342</v>
      </c>
      <c r="BK4" s="61">
        <f t="shared" si="1"/>
        <v>45343</v>
      </c>
      <c r="BL4" s="61">
        <f t="shared" si="1"/>
        <v>45344</v>
      </c>
      <c r="BM4" s="61">
        <f t="shared" si="1"/>
        <v>45345</v>
      </c>
      <c r="BN4" s="61">
        <f t="shared" si="1"/>
        <v>45346</v>
      </c>
      <c r="BO4" s="64">
        <f t="shared" si="1"/>
        <v>45347</v>
      </c>
      <c r="BP4" s="65"/>
    </row>
    <row r="5" ht="24.75" customHeight="1">
      <c r="A5" s="66"/>
      <c r="B5" s="67" t="s">
        <v>29</v>
      </c>
      <c r="C5" s="68" t="s">
        <v>30</v>
      </c>
      <c r="D5" s="69" t="s">
        <v>31</v>
      </c>
      <c r="E5" s="70" t="s">
        <v>32</v>
      </c>
      <c r="F5" s="71" t="s">
        <v>33</v>
      </c>
      <c r="G5" s="71" t="s">
        <v>34</v>
      </c>
      <c r="H5" s="69" t="s">
        <v>35</v>
      </c>
      <c r="I5" s="72" t="s">
        <v>36</v>
      </c>
      <c r="J5" s="69" t="s">
        <v>37</v>
      </c>
      <c r="K5" s="73"/>
      <c r="L5" s="74" t="str">
        <f t="shared" ref="L5:BO5" si="2">CHOOSE(WEEKDAY(L4,1),"S","M","T","W","T","F","S")</f>
        <v>M</v>
      </c>
      <c r="M5" s="75" t="str">
        <f t="shared" si="2"/>
        <v>T</v>
      </c>
      <c r="N5" s="75" t="str">
        <f t="shared" si="2"/>
        <v>W</v>
      </c>
      <c r="O5" s="75" t="str">
        <f t="shared" si="2"/>
        <v>T</v>
      </c>
      <c r="P5" s="75" t="str">
        <f t="shared" si="2"/>
        <v>F</v>
      </c>
      <c r="Q5" s="75" t="str">
        <f t="shared" si="2"/>
        <v>S</v>
      </c>
      <c r="R5" s="76" t="str">
        <f t="shared" si="2"/>
        <v>S</v>
      </c>
      <c r="S5" s="74" t="str">
        <f t="shared" si="2"/>
        <v>M</v>
      </c>
      <c r="T5" s="75" t="str">
        <f t="shared" si="2"/>
        <v>T</v>
      </c>
      <c r="U5" s="75" t="str">
        <f t="shared" si="2"/>
        <v>W</v>
      </c>
      <c r="V5" s="75" t="str">
        <f t="shared" si="2"/>
        <v>T</v>
      </c>
      <c r="W5" s="75" t="str">
        <f t="shared" si="2"/>
        <v>F</v>
      </c>
      <c r="X5" s="75" t="str">
        <f t="shared" si="2"/>
        <v>S</v>
      </c>
      <c r="Y5" s="76" t="str">
        <f t="shared" si="2"/>
        <v>S</v>
      </c>
      <c r="Z5" s="74" t="str">
        <f t="shared" si="2"/>
        <v>M</v>
      </c>
      <c r="AA5" s="75" t="str">
        <f t="shared" si="2"/>
        <v>T</v>
      </c>
      <c r="AB5" s="75" t="str">
        <f t="shared" si="2"/>
        <v>W</v>
      </c>
      <c r="AC5" s="75" t="str">
        <f t="shared" si="2"/>
        <v>T</v>
      </c>
      <c r="AD5" s="75" t="str">
        <f t="shared" si="2"/>
        <v>F</v>
      </c>
      <c r="AE5" s="75" t="str">
        <f t="shared" si="2"/>
        <v>S</v>
      </c>
      <c r="AF5" s="76" t="str">
        <f t="shared" si="2"/>
        <v>S</v>
      </c>
      <c r="AG5" s="74" t="str">
        <f t="shared" si="2"/>
        <v>M</v>
      </c>
      <c r="AH5" s="75" t="str">
        <f t="shared" si="2"/>
        <v>T</v>
      </c>
      <c r="AI5" s="75" t="str">
        <f t="shared" si="2"/>
        <v>W</v>
      </c>
      <c r="AJ5" s="75" t="str">
        <f t="shared" si="2"/>
        <v>T</v>
      </c>
      <c r="AK5" s="75" t="str">
        <f t="shared" si="2"/>
        <v>F</v>
      </c>
      <c r="AL5" s="75" t="str">
        <f t="shared" si="2"/>
        <v>S</v>
      </c>
      <c r="AM5" s="76" t="str">
        <f t="shared" si="2"/>
        <v>S</v>
      </c>
      <c r="AN5" s="74" t="str">
        <f t="shared" si="2"/>
        <v>M</v>
      </c>
      <c r="AO5" s="75" t="str">
        <f t="shared" si="2"/>
        <v>T</v>
      </c>
      <c r="AP5" s="75" t="str">
        <f t="shared" si="2"/>
        <v>W</v>
      </c>
      <c r="AQ5" s="75" t="str">
        <f t="shared" si="2"/>
        <v>T</v>
      </c>
      <c r="AR5" s="75" t="str">
        <f t="shared" si="2"/>
        <v>F</v>
      </c>
      <c r="AS5" s="75" t="str">
        <f t="shared" si="2"/>
        <v>S</v>
      </c>
      <c r="AT5" s="76" t="str">
        <f t="shared" si="2"/>
        <v>S</v>
      </c>
      <c r="AU5" s="74" t="str">
        <f t="shared" si="2"/>
        <v>M</v>
      </c>
      <c r="AV5" s="75" t="str">
        <f t="shared" si="2"/>
        <v>T</v>
      </c>
      <c r="AW5" s="75" t="str">
        <f t="shared" si="2"/>
        <v>W</v>
      </c>
      <c r="AX5" s="75" t="str">
        <f t="shared" si="2"/>
        <v>T</v>
      </c>
      <c r="AY5" s="75" t="str">
        <f t="shared" si="2"/>
        <v>F</v>
      </c>
      <c r="AZ5" s="75" t="str">
        <f t="shared" si="2"/>
        <v>S</v>
      </c>
      <c r="BA5" s="76" t="str">
        <f t="shared" si="2"/>
        <v>S</v>
      </c>
      <c r="BB5" s="74" t="str">
        <f t="shared" si="2"/>
        <v>M</v>
      </c>
      <c r="BC5" s="75" t="str">
        <f t="shared" si="2"/>
        <v>T</v>
      </c>
      <c r="BD5" s="75" t="str">
        <f t="shared" si="2"/>
        <v>W</v>
      </c>
      <c r="BE5" s="75" t="str">
        <f t="shared" si="2"/>
        <v>T</v>
      </c>
      <c r="BF5" s="75" t="str">
        <f t="shared" si="2"/>
        <v>F</v>
      </c>
      <c r="BG5" s="75" t="str">
        <f t="shared" si="2"/>
        <v>S</v>
      </c>
      <c r="BH5" s="76" t="str">
        <f t="shared" si="2"/>
        <v>S</v>
      </c>
      <c r="BI5" s="74" t="str">
        <f t="shared" si="2"/>
        <v>M</v>
      </c>
      <c r="BJ5" s="75" t="str">
        <f t="shared" si="2"/>
        <v>T</v>
      </c>
      <c r="BK5" s="75" t="str">
        <f t="shared" si="2"/>
        <v>W</v>
      </c>
      <c r="BL5" s="75" t="str">
        <f t="shared" si="2"/>
        <v>T</v>
      </c>
      <c r="BM5" s="75" t="str">
        <f t="shared" si="2"/>
        <v>F</v>
      </c>
      <c r="BN5" s="75" t="str">
        <f t="shared" si="2"/>
        <v>S</v>
      </c>
      <c r="BO5" s="77" t="str">
        <f t="shared" si="2"/>
        <v>S</v>
      </c>
      <c r="BP5" s="78"/>
    </row>
    <row r="6" ht="12.75" customHeight="1">
      <c r="A6" s="79"/>
      <c r="B6" s="80" t="str">
        <f>IF(ISERROR(VALUE(SUBSTITUTE('Copy of GanttChart'!prevWBS,".",""))),"1",IF(ISERROR(FIND("`",SUBSTITUTE('Copy of GanttChart'!prevWBS,".","`",1))),TEXT(VALUE('Copy of GanttChart'!prevWBS)+1,"#"),TEXT(VALUE(LEFT('Copy of GanttChart'!prevWBS,FIND("`",SUBSTITUTE('Copy of GanttChart'!prevWBS,".","`",1))-1))+1,"#")))</f>
        <v>1</v>
      </c>
      <c r="C6" s="81" t="s">
        <v>38</v>
      </c>
      <c r="D6" s="82" t="s">
        <v>39</v>
      </c>
      <c r="E6" s="83"/>
      <c r="F6" s="97"/>
      <c r="G6" s="98" t="str">
        <f t="shared" ref="G6:G15" si="3">IF(ISBLANK(F6)," - ",IF(H6=0,F6,F6+H6-1))</f>
        <v> - </v>
      </c>
      <c r="H6" s="85"/>
      <c r="I6" s="86"/>
      <c r="J6" s="85" t="str">
        <f t="shared" ref="J6:J54" si="4">IF(OR(G6=0,F6=0)," - ",NETWORKDAYS(F6,G6))</f>
        <v> - </v>
      </c>
      <c r="K6" s="87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9"/>
      <c r="BP6" s="90"/>
    </row>
    <row r="7" ht="12.75" customHeight="1">
      <c r="A7" s="91"/>
      <c r="B7" s="92">
        <v>1.1</v>
      </c>
      <c r="C7" s="107" t="s">
        <v>42</v>
      </c>
      <c r="D7" s="94" t="s">
        <v>39</v>
      </c>
      <c r="E7" s="95"/>
      <c r="F7" s="108">
        <f>D2</f>
        <v>45297</v>
      </c>
      <c r="G7" s="99">
        <f t="shared" si="3"/>
        <v>45303</v>
      </c>
      <c r="H7" s="100">
        <v>7.0</v>
      </c>
      <c r="I7" s="101">
        <v>0.0</v>
      </c>
      <c r="J7" s="102">
        <f t="shared" si="4"/>
        <v>5</v>
      </c>
      <c r="K7" s="103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5"/>
      <c r="BP7" s="90"/>
    </row>
    <row r="8" ht="12.75" customHeight="1">
      <c r="A8" s="91"/>
      <c r="B8" s="92">
        <v>1.2</v>
      </c>
      <c r="C8" s="107" t="s">
        <v>45</v>
      </c>
      <c r="D8" s="94" t="s">
        <v>39</v>
      </c>
      <c r="E8" s="95"/>
      <c r="F8" s="96">
        <v>44646.0</v>
      </c>
      <c r="G8" s="99">
        <f t="shared" si="3"/>
        <v>44652</v>
      </c>
      <c r="H8" s="100">
        <v>7.0</v>
      </c>
      <c r="I8" s="101">
        <v>0.3</v>
      </c>
      <c r="J8" s="102">
        <f t="shared" si="4"/>
        <v>5</v>
      </c>
      <c r="K8" s="103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5"/>
      <c r="BP8" s="90"/>
    </row>
    <row r="9" ht="12.75" customHeight="1">
      <c r="A9" s="91"/>
      <c r="B9" s="92">
        <v>1.3</v>
      </c>
      <c r="C9" s="107" t="s">
        <v>47</v>
      </c>
      <c r="D9" s="94" t="s">
        <v>39</v>
      </c>
      <c r="E9" s="95"/>
      <c r="F9" s="96">
        <v>44647.0</v>
      </c>
      <c r="G9" s="99">
        <f t="shared" si="3"/>
        <v>44653</v>
      </c>
      <c r="H9" s="100">
        <v>7.0</v>
      </c>
      <c r="I9" s="101">
        <v>1.0</v>
      </c>
      <c r="J9" s="102">
        <f t="shared" si="4"/>
        <v>5</v>
      </c>
      <c r="K9" s="103"/>
      <c r="L9" s="104"/>
      <c r="M9" s="104"/>
      <c r="N9" s="109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5"/>
      <c r="BP9" s="90"/>
    </row>
    <row r="10" ht="12.75" customHeight="1">
      <c r="A10" s="91"/>
      <c r="B10" s="92">
        <v>1.4</v>
      </c>
      <c r="C10" s="107" t="s">
        <v>49</v>
      </c>
      <c r="D10" s="94" t="s">
        <v>39</v>
      </c>
      <c r="E10" s="95"/>
      <c r="F10" s="96">
        <v>44647.0</v>
      </c>
      <c r="G10" s="99">
        <f t="shared" si="3"/>
        <v>44653</v>
      </c>
      <c r="H10" s="100">
        <v>7.0</v>
      </c>
      <c r="I10" s="101">
        <v>0.25</v>
      </c>
      <c r="J10" s="102">
        <f t="shared" si="4"/>
        <v>5</v>
      </c>
      <c r="K10" s="103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5"/>
      <c r="BP10" s="90"/>
    </row>
    <row r="11" ht="12.75" customHeight="1">
      <c r="A11" s="91"/>
      <c r="B11" s="92">
        <v>1.5</v>
      </c>
      <c r="C11" s="106" t="s">
        <v>41</v>
      </c>
      <c r="D11" s="94" t="s">
        <v>39</v>
      </c>
      <c r="E11" s="95"/>
      <c r="F11" s="96">
        <v>44648.0</v>
      </c>
      <c r="G11" s="99">
        <f t="shared" si="3"/>
        <v>44654</v>
      </c>
      <c r="H11" s="100">
        <v>7.0</v>
      </c>
      <c r="I11" s="101">
        <v>0.35</v>
      </c>
      <c r="J11" s="102">
        <f t="shared" si="4"/>
        <v>5</v>
      </c>
      <c r="K11" s="103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5"/>
      <c r="BP11" s="90"/>
    </row>
    <row r="12" ht="12.75" customHeight="1">
      <c r="A12" s="91"/>
      <c r="B12" s="92">
        <v>1.6</v>
      </c>
      <c r="C12" s="106" t="s">
        <v>51</v>
      </c>
      <c r="D12" s="94" t="s">
        <v>39</v>
      </c>
      <c r="E12" s="95"/>
      <c r="F12" s="96">
        <v>44649.0</v>
      </c>
      <c r="G12" s="99">
        <f t="shared" si="3"/>
        <v>44655</v>
      </c>
      <c r="H12" s="100">
        <v>7.0</v>
      </c>
      <c r="I12" s="101">
        <v>0.3</v>
      </c>
      <c r="J12" s="102">
        <f t="shared" si="4"/>
        <v>5</v>
      </c>
      <c r="K12" s="103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5"/>
      <c r="BP12" s="90"/>
    </row>
    <row r="13" ht="12.75" customHeight="1">
      <c r="A13" s="91"/>
      <c r="B13" s="92">
        <v>1.7</v>
      </c>
      <c r="C13" s="107" t="s">
        <v>53</v>
      </c>
      <c r="D13" s="94" t="s">
        <v>39</v>
      </c>
      <c r="E13" s="95"/>
      <c r="F13" s="96">
        <v>44650.0</v>
      </c>
      <c r="G13" s="99">
        <f t="shared" si="3"/>
        <v>44656</v>
      </c>
      <c r="H13" s="100">
        <v>7.0</v>
      </c>
      <c r="I13" s="101">
        <v>0.2</v>
      </c>
      <c r="J13" s="102">
        <f t="shared" si="4"/>
        <v>5</v>
      </c>
      <c r="K13" s="103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5"/>
      <c r="BP13" s="90"/>
    </row>
    <row r="14" ht="12.75" customHeight="1">
      <c r="A14" s="91"/>
      <c r="B14" s="92">
        <v>1.8</v>
      </c>
      <c r="C14" s="107" t="s">
        <v>55</v>
      </c>
      <c r="D14" s="94" t="s">
        <v>39</v>
      </c>
      <c r="E14" s="95"/>
      <c r="F14" s="96">
        <v>44650.0</v>
      </c>
      <c r="G14" s="99">
        <f t="shared" si="3"/>
        <v>44656</v>
      </c>
      <c r="H14" s="122">
        <v>7.0</v>
      </c>
      <c r="I14" s="101">
        <v>0.45</v>
      </c>
      <c r="J14" s="102">
        <f t="shared" si="4"/>
        <v>5</v>
      </c>
      <c r="K14" s="103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5"/>
      <c r="BP14" s="90"/>
    </row>
    <row r="15" ht="12.75" customHeight="1">
      <c r="A15" s="91"/>
      <c r="B15" s="92">
        <v>1.9</v>
      </c>
      <c r="C15" s="107" t="s">
        <v>57</v>
      </c>
      <c r="D15" s="94" t="s">
        <v>39</v>
      </c>
      <c r="E15" s="95"/>
      <c r="F15" s="96">
        <v>44651.0</v>
      </c>
      <c r="G15" s="99">
        <f t="shared" si="3"/>
        <v>44657</v>
      </c>
      <c r="H15" s="122">
        <v>7.0</v>
      </c>
      <c r="I15" s="101">
        <v>0.5</v>
      </c>
      <c r="J15" s="102">
        <f t="shared" si="4"/>
        <v>5</v>
      </c>
      <c r="K15" s="103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5"/>
      <c r="BP15" s="90"/>
    </row>
    <row r="16" ht="12.75" customHeight="1">
      <c r="A16" s="110"/>
      <c r="B16" s="111">
        <v>2.0</v>
      </c>
      <c r="C16" s="112" t="s">
        <v>50</v>
      </c>
      <c r="D16" s="113" t="s">
        <v>39</v>
      </c>
      <c r="E16" s="114"/>
      <c r="F16" s="96"/>
      <c r="G16" s="125"/>
      <c r="H16" s="116"/>
      <c r="I16" s="117"/>
      <c r="J16" s="116" t="str">
        <f t="shared" si="4"/>
        <v> - </v>
      </c>
      <c r="K16" s="118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20"/>
      <c r="BP16" s="90"/>
    </row>
    <row r="17" ht="12.75" customHeight="1">
      <c r="A17" s="91"/>
      <c r="B17" s="92">
        <v>2.1</v>
      </c>
      <c r="C17" s="124" t="s">
        <v>61</v>
      </c>
      <c r="D17" s="94" t="s">
        <v>39</v>
      </c>
      <c r="E17" s="95"/>
      <c r="F17" s="96">
        <v>44653.0</v>
      </c>
      <c r="G17" s="99">
        <f t="shared" ref="G17:G20" si="5">IF(ISBLANK(F17)," - ",IF(H17=0,F17,F17+H17-1))</f>
        <v>44656</v>
      </c>
      <c r="H17" s="122">
        <v>4.0</v>
      </c>
      <c r="I17" s="101">
        <v>0.2</v>
      </c>
      <c r="J17" s="102">
        <f t="shared" si="4"/>
        <v>2</v>
      </c>
      <c r="K17" s="103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5"/>
      <c r="BP17" s="90"/>
    </row>
    <row r="18" ht="12.75" customHeight="1">
      <c r="A18" s="91"/>
      <c r="B18" s="92">
        <v>2.2</v>
      </c>
      <c r="C18" s="126" t="s">
        <v>63</v>
      </c>
      <c r="D18" s="94" t="s">
        <v>39</v>
      </c>
      <c r="E18" s="95"/>
      <c r="F18" s="96">
        <v>44654.0</v>
      </c>
      <c r="G18" s="99">
        <f t="shared" si="5"/>
        <v>44656</v>
      </c>
      <c r="H18" s="122">
        <v>3.0</v>
      </c>
      <c r="I18" s="101">
        <v>0.15</v>
      </c>
      <c r="J18" s="102">
        <f t="shared" si="4"/>
        <v>2</v>
      </c>
      <c r="K18" s="103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5"/>
      <c r="BP18" s="90"/>
    </row>
    <row r="19" ht="12.75" customHeight="1">
      <c r="A19" s="91"/>
      <c r="B19" s="92">
        <v>2.3</v>
      </c>
      <c r="C19" s="124" t="s">
        <v>65</v>
      </c>
      <c r="D19" s="94" t="s">
        <v>39</v>
      </c>
      <c r="E19" s="95"/>
      <c r="F19" s="96">
        <v>44655.0</v>
      </c>
      <c r="G19" s="99">
        <f t="shared" si="5"/>
        <v>44657</v>
      </c>
      <c r="H19" s="122">
        <v>3.0</v>
      </c>
      <c r="I19" s="123">
        <v>0.0</v>
      </c>
      <c r="J19" s="102">
        <f t="shared" si="4"/>
        <v>3</v>
      </c>
      <c r="K19" s="103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5"/>
      <c r="BP19" s="90"/>
    </row>
    <row r="20" ht="12.75" customHeight="1">
      <c r="A20" s="91"/>
      <c r="B20" s="92">
        <v>2.4</v>
      </c>
      <c r="C20" s="126" t="s">
        <v>67</v>
      </c>
      <c r="D20" s="94" t="s">
        <v>39</v>
      </c>
      <c r="E20" s="95"/>
      <c r="F20" s="96">
        <v>44656.0</v>
      </c>
      <c r="G20" s="99">
        <f t="shared" si="5"/>
        <v>44657</v>
      </c>
      <c r="H20" s="122">
        <v>2.0</v>
      </c>
      <c r="I20" s="101">
        <v>0.9</v>
      </c>
      <c r="J20" s="102">
        <f t="shared" si="4"/>
        <v>2</v>
      </c>
      <c r="K20" s="103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5"/>
      <c r="BP20" s="90"/>
    </row>
    <row r="21" ht="12.75" customHeight="1">
      <c r="A21" s="91"/>
      <c r="B21" s="92">
        <v>2.5</v>
      </c>
      <c r="C21" s="124" t="s">
        <v>69</v>
      </c>
      <c r="D21" s="94" t="s">
        <v>39</v>
      </c>
      <c r="E21" s="95"/>
      <c r="F21" s="96">
        <v>44657.0</v>
      </c>
      <c r="G21" s="99">
        <f t="shared" ref="G21:G26" si="6">IF(ISBLANK(F21)," - ",IF(H21=0,F21,F21+$H$21-1))</f>
        <v>44659</v>
      </c>
      <c r="H21" s="122">
        <v>3.0</v>
      </c>
      <c r="I21" s="101">
        <v>0.6</v>
      </c>
      <c r="J21" s="102">
        <f t="shared" si="4"/>
        <v>3</v>
      </c>
      <c r="K21" s="103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5"/>
      <c r="BP21" s="90"/>
    </row>
    <row r="22" ht="12.75" customHeight="1">
      <c r="A22" s="91"/>
      <c r="B22" s="92">
        <v>2.6</v>
      </c>
      <c r="C22" s="124" t="s">
        <v>71</v>
      </c>
      <c r="D22" s="94" t="s">
        <v>39</v>
      </c>
      <c r="E22" s="95"/>
      <c r="F22" s="96">
        <v>44658.0</v>
      </c>
      <c r="G22" s="99">
        <f t="shared" si="6"/>
        <v>44660</v>
      </c>
      <c r="H22" s="100">
        <v>4.0</v>
      </c>
      <c r="I22" s="101">
        <v>0.7</v>
      </c>
      <c r="J22" s="102">
        <f t="shared" si="4"/>
        <v>2</v>
      </c>
      <c r="K22" s="103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5"/>
      <c r="BP22" s="90"/>
    </row>
    <row r="23" ht="12.75" customHeight="1">
      <c r="A23" s="91"/>
      <c r="B23" s="92">
        <v>2.7</v>
      </c>
      <c r="C23" s="124" t="s">
        <v>56</v>
      </c>
      <c r="D23" s="94" t="s">
        <v>39</v>
      </c>
      <c r="E23" s="95"/>
      <c r="F23" s="96">
        <v>44659.0</v>
      </c>
      <c r="G23" s="99">
        <f t="shared" si="6"/>
        <v>44661</v>
      </c>
      <c r="H23" s="100">
        <v>5.0</v>
      </c>
      <c r="I23" s="101">
        <v>0.45</v>
      </c>
      <c r="J23" s="102">
        <f t="shared" si="4"/>
        <v>1</v>
      </c>
      <c r="K23" s="103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5"/>
      <c r="BP23" s="90"/>
    </row>
    <row r="24" ht="12.75" customHeight="1">
      <c r="A24" s="91"/>
      <c r="B24" s="92">
        <v>2.8</v>
      </c>
      <c r="C24" s="124" t="s">
        <v>74</v>
      </c>
      <c r="D24" s="94" t="s">
        <v>39</v>
      </c>
      <c r="E24" s="95"/>
      <c r="F24" s="96">
        <v>44660.0</v>
      </c>
      <c r="G24" s="99">
        <f t="shared" si="6"/>
        <v>44662</v>
      </c>
      <c r="H24" s="100">
        <v>6.0</v>
      </c>
      <c r="I24" s="101">
        <v>0.5</v>
      </c>
      <c r="J24" s="102">
        <f t="shared" si="4"/>
        <v>1</v>
      </c>
      <c r="K24" s="103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5"/>
      <c r="BP24" s="90"/>
    </row>
    <row r="25" ht="12.75" customHeight="1">
      <c r="A25" s="91"/>
      <c r="B25" s="92">
        <v>2.9</v>
      </c>
      <c r="C25" s="124" t="s">
        <v>77</v>
      </c>
      <c r="D25" s="94" t="s">
        <v>39</v>
      </c>
      <c r="E25" s="95"/>
      <c r="F25" s="96">
        <v>44661.0</v>
      </c>
      <c r="G25" s="99">
        <f t="shared" si="6"/>
        <v>44663</v>
      </c>
      <c r="H25" s="100">
        <v>4.0</v>
      </c>
      <c r="I25" s="101">
        <v>0.75</v>
      </c>
      <c r="J25" s="102">
        <f t="shared" si="4"/>
        <v>2</v>
      </c>
      <c r="K25" s="103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5"/>
      <c r="BP25" s="90"/>
    </row>
    <row r="26" ht="12.75" customHeight="1">
      <c r="A26" s="91"/>
      <c r="B26" s="92" t="s">
        <v>78</v>
      </c>
      <c r="C26" s="124" t="s">
        <v>79</v>
      </c>
      <c r="D26" s="94" t="s">
        <v>39</v>
      </c>
      <c r="E26" s="95"/>
      <c r="F26" s="96">
        <v>44662.0</v>
      </c>
      <c r="G26" s="99">
        <f t="shared" si="6"/>
        <v>44664</v>
      </c>
      <c r="H26" s="100">
        <v>3.0</v>
      </c>
      <c r="I26" s="101">
        <v>0.8</v>
      </c>
      <c r="J26" s="102">
        <f t="shared" si="4"/>
        <v>3</v>
      </c>
      <c r="K26" s="103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5"/>
      <c r="BP26" s="90"/>
    </row>
    <row r="27" ht="12.75" customHeight="1">
      <c r="A27" s="110"/>
      <c r="B27" s="111">
        <v>3.0</v>
      </c>
      <c r="C27" s="112" t="s">
        <v>60</v>
      </c>
      <c r="D27" s="113" t="s">
        <v>39</v>
      </c>
      <c r="E27" s="114"/>
      <c r="F27" s="96"/>
      <c r="G27" s="125"/>
      <c r="H27" s="116"/>
      <c r="I27" s="117"/>
      <c r="J27" s="116" t="str">
        <f t="shared" si="4"/>
        <v> - </v>
      </c>
      <c r="K27" s="118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20"/>
      <c r="BP27" s="90"/>
    </row>
    <row r="28" ht="12.75" customHeight="1">
      <c r="A28" s="91"/>
      <c r="B28" s="92">
        <v>3.1</v>
      </c>
      <c r="C28" s="124" t="s">
        <v>62</v>
      </c>
      <c r="D28" s="94" t="s">
        <v>39</v>
      </c>
      <c r="E28" s="95"/>
      <c r="F28" s="96">
        <v>44659.0</v>
      </c>
      <c r="G28" s="99">
        <f t="shared" ref="G28:G31" si="7">IF(ISBLANK(F28)," - ",IF(H28=0,F28,F28+H28-1))</f>
        <v>44663</v>
      </c>
      <c r="H28" s="122">
        <v>5.0</v>
      </c>
      <c r="I28" s="101">
        <v>0.4</v>
      </c>
      <c r="J28" s="102">
        <f t="shared" si="4"/>
        <v>3</v>
      </c>
      <c r="K28" s="103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5"/>
      <c r="BP28" s="90"/>
    </row>
    <row r="29" ht="12.75" customHeight="1">
      <c r="A29" s="91"/>
      <c r="B29" s="92">
        <v>3.2</v>
      </c>
      <c r="C29" s="126" t="s">
        <v>83</v>
      </c>
      <c r="D29" s="94" t="s">
        <v>39</v>
      </c>
      <c r="E29" s="95"/>
      <c r="F29" s="96">
        <v>44660.0</v>
      </c>
      <c r="G29" s="99">
        <f t="shared" si="7"/>
        <v>44664</v>
      </c>
      <c r="H29" s="122">
        <v>5.0</v>
      </c>
      <c r="I29" s="101">
        <v>0.85</v>
      </c>
      <c r="J29" s="102">
        <f t="shared" si="4"/>
        <v>3</v>
      </c>
      <c r="K29" s="103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5"/>
      <c r="BP29" s="90"/>
    </row>
    <row r="30" ht="12.75" customHeight="1">
      <c r="A30" s="91"/>
      <c r="B30" s="92">
        <v>3.3</v>
      </c>
      <c r="C30" s="126" t="s">
        <v>86</v>
      </c>
      <c r="D30" s="94" t="s">
        <v>39</v>
      </c>
      <c r="E30" s="95"/>
      <c r="F30" s="96">
        <v>44661.0</v>
      </c>
      <c r="G30" s="99">
        <f t="shared" si="7"/>
        <v>44665</v>
      </c>
      <c r="H30" s="122">
        <v>5.0</v>
      </c>
      <c r="I30" s="101">
        <v>0.8</v>
      </c>
      <c r="J30" s="102">
        <f t="shared" si="4"/>
        <v>4</v>
      </c>
      <c r="K30" s="103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5"/>
      <c r="BP30" s="90"/>
    </row>
    <row r="31" ht="12.75" customHeight="1">
      <c r="A31" s="91"/>
      <c r="B31" s="92">
        <v>3.4</v>
      </c>
      <c r="C31" s="126" t="s">
        <v>64</v>
      </c>
      <c r="D31" s="94" t="s">
        <v>39</v>
      </c>
      <c r="E31" s="95"/>
      <c r="F31" s="96">
        <v>44662.0</v>
      </c>
      <c r="G31" s="99">
        <f t="shared" si="7"/>
        <v>44667</v>
      </c>
      <c r="H31" s="122">
        <v>6.0</v>
      </c>
      <c r="I31" s="101">
        <v>0.55</v>
      </c>
      <c r="J31" s="102">
        <f t="shared" si="4"/>
        <v>5</v>
      </c>
      <c r="K31" s="103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5"/>
      <c r="BP31" s="90"/>
    </row>
    <row r="32" ht="12.75" customHeight="1">
      <c r="A32" s="91"/>
      <c r="B32" s="92">
        <v>3.5</v>
      </c>
      <c r="C32" s="126" t="s">
        <v>87</v>
      </c>
      <c r="D32" s="94" t="s">
        <v>39</v>
      </c>
      <c r="E32" s="95"/>
      <c r="F32" s="96">
        <v>44663.0</v>
      </c>
      <c r="G32" s="99">
        <f t="shared" ref="G32:G37" si="8">IF(ISBLANK(F32)," - ",IF(H32=0,F32,F32+$H$32-1))</f>
        <v>44667</v>
      </c>
      <c r="H32" s="122">
        <v>5.0</v>
      </c>
      <c r="I32" s="101">
        <v>0.6</v>
      </c>
      <c r="J32" s="102">
        <f t="shared" si="4"/>
        <v>4</v>
      </c>
      <c r="K32" s="103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5"/>
      <c r="BP32" s="90"/>
    </row>
    <row r="33" ht="12.75" customHeight="1">
      <c r="A33" s="91"/>
      <c r="B33" s="92">
        <v>3.6</v>
      </c>
      <c r="C33" s="126" t="s">
        <v>88</v>
      </c>
      <c r="D33" s="94" t="s">
        <v>39</v>
      </c>
      <c r="E33" s="95"/>
      <c r="F33" s="96">
        <v>44664.0</v>
      </c>
      <c r="G33" s="99">
        <f t="shared" si="8"/>
        <v>44668</v>
      </c>
      <c r="H33" s="100">
        <v>5.0</v>
      </c>
      <c r="I33" s="101">
        <v>0.25</v>
      </c>
      <c r="J33" s="102">
        <f t="shared" si="4"/>
        <v>3</v>
      </c>
      <c r="K33" s="103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5"/>
      <c r="BP33" s="90"/>
    </row>
    <row r="34" ht="12.75" customHeight="1">
      <c r="A34" s="91"/>
      <c r="B34" s="92">
        <v>3.7</v>
      </c>
      <c r="C34" s="126" t="s">
        <v>66</v>
      </c>
      <c r="D34" s="94" t="s">
        <v>39</v>
      </c>
      <c r="E34" s="95"/>
      <c r="F34" s="96">
        <v>44665.0</v>
      </c>
      <c r="G34" s="99">
        <f t="shared" si="8"/>
        <v>44669</v>
      </c>
      <c r="H34" s="100">
        <v>4.0</v>
      </c>
      <c r="I34" s="101">
        <v>0.45</v>
      </c>
      <c r="J34" s="102">
        <f t="shared" si="4"/>
        <v>3</v>
      </c>
      <c r="K34" s="103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5"/>
      <c r="BP34" s="90"/>
    </row>
    <row r="35" ht="12.75" customHeight="1">
      <c r="A35" s="91"/>
      <c r="B35" s="92">
        <v>3.8</v>
      </c>
      <c r="C35" s="126" t="s">
        <v>68</v>
      </c>
      <c r="D35" s="94" t="s">
        <v>39</v>
      </c>
      <c r="E35" s="95"/>
      <c r="F35" s="96">
        <v>44666.0</v>
      </c>
      <c r="G35" s="99">
        <f t="shared" si="8"/>
        <v>44670</v>
      </c>
      <c r="H35" s="100">
        <v>6.0</v>
      </c>
      <c r="I35" s="101">
        <v>0.55</v>
      </c>
      <c r="J35" s="102">
        <f t="shared" si="4"/>
        <v>3</v>
      </c>
      <c r="K35" s="103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5"/>
      <c r="BP35" s="90"/>
    </row>
    <row r="36" ht="12.75" customHeight="1">
      <c r="A36" s="91"/>
      <c r="B36" s="92">
        <v>3.9</v>
      </c>
      <c r="C36" s="126" t="s">
        <v>89</v>
      </c>
      <c r="D36" s="94" t="s">
        <v>39</v>
      </c>
      <c r="E36" s="95"/>
      <c r="F36" s="96">
        <v>44667.0</v>
      </c>
      <c r="G36" s="99">
        <f t="shared" si="8"/>
        <v>44671</v>
      </c>
      <c r="H36" s="100">
        <v>4.0</v>
      </c>
      <c r="I36" s="101">
        <v>0.9</v>
      </c>
      <c r="J36" s="102">
        <f t="shared" si="4"/>
        <v>3</v>
      </c>
      <c r="K36" s="103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5"/>
      <c r="BP36" s="90"/>
    </row>
    <row r="37" ht="12.75" customHeight="1">
      <c r="A37" s="91"/>
      <c r="B37" s="92">
        <v>3.1</v>
      </c>
      <c r="C37" s="126" t="s">
        <v>90</v>
      </c>
      <c r="D37" s="94" t="s">
        <v>39</v>
      </c>
      <c r="E37" s="95"/>
      <c r="F37" s="96">
        <v>44668.0</v>
      </c>
      <c r="G37" s="99">
        <f t="shared" si="8"/>
        <v>44672</v>
      </c>
      <c r="H37" s="100">
        <v>7.0</v>
      </c>
      <c r="I37" s="101">
        <v>0.6</v>
      </c>
      <c r="J37" s="102">
        <f t="shared" si="4"/>
        <v>4</v>
      </c>
      <c r="K37" s="103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5"/>
      <c r="BP37" s="90"/>
    </row>
    <row r="38" ht="12.75" customHeight="1">
      <c r="A38" s="110"/>
      <c r="B38" s="111">
        <v>4.0</v>
      </c>
      <c r="C38" s="112" t="s">
        <v>70</v>
      </c>
      <c r="D38" s="113" t="s">
        <v>39</v>
      </c>
      <c r="E38" s="114"/>
      <c r="F38" s="96"/>
      <c r="G38" s="125"/>
      <c r="H38" s="116"/>
      <c r="I38" s="117"/>
      <c r="J38" s="116" t="str">
        <f t="shared" si="4"/>
        <v> - </v>
      </c>
      <c r="K38" s="118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M38" s="119"/>
      <c r="BN38" s="119"/>
      <c r="BO38" s="120"/>
      <c r="BP38" s="90"/>
    </row>
    <row r="39" ht="12.75" customHeight="1">
      <c r="A39" s="91"/>
      <c r="B39" s="92">
        <v>4.1</v>
      </c>
      <c r="C39" s="124" t="s">
        <v>72</v>
      </c>
      <c r="D39" s="94" t="s">
        <v>39</v>
      </c>
      <c r="E39" s="95"/>
      <c r="F39" s="96">
        <v>44659.0</v>
      </c>
      <c r="G39" s="99">
        <f t="shared" ref="G39:G42" si="9">IF(ISBLANK(F39)," - ",IF(H39=0,F39,F39+H39-1))</f>
        <v>44663</v>
      </c>
      <c r="H39" s="122">
        <v>5.0</v>
      </c>
      <c r="I39" s="101">
        <v>0.4</v>
      </c>
      <c r="J39" s="102">
        <f t="shared" si="4"/>
        <v>3</v>
      </c>
      <c r="K39" s="103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5"/>
      <c r="BP39" s="90"/>
    </row>
    <row r="40" ht="12.75" customHeight="1">
      <c r="A40" s="91"/>
      <c r="B40" s="92">
        <v>4.2</v>
      </c>
      <c r="C40" s="126" t="s">
        <v>91</v>
      </c>
      <c r="D40" s="94" t="s">
        <v>39</v>
      </c>
      <c r="E40" s="95"/>
      <c r="F40" s="96">
        <v>44660.0</v>
      </c>
      <c r="G40" s="99">
        <f t="shared" si="9"/>
        <v>44664</v>
      </c>
      <c r="H40" s="122">
        <v>5.0</v>
      </c>
      <c r="I40" s="101">
        <v>0.85</v>
      </c>
      <c r="J40" s="102">
        <f t="shared" si="4"/>
        <v>3</v>
      </c>
      <c r="K40" s="103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5"/>
      <c r="BP40" s="90"/>
    </row>
    <row r="41" ht="12.75" customHeight="1">
      <c r="A41" s="91"/>
      <c r="B41" s="92">
        <v>4.3</v>
      </c>
      <c r="C41" s="126" t="s">
        <v>92</v>
      </c>
      <c r="D41" s="94" t="s">
        <v>39</v>
      </c>
      <c r="E41" s="95"/>
      <c r="F41" s="96">
        <v>44661.0</v>
      </c>
      <c r="G41" s="99">
        <f t="shared" si="9"/>
        <v>44665</v>
      </c>
      <c r="H41" s="122">
        <v>5.0</v>
      </c>
      <c r="I41" s="101">
        <v>0.8</v>
      </c>
      <c r="J41" s="102">
        <f t="shared" si="4"/>
        <v>4</v>
      </c>
      <c r="K41" s="103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5"/>
      <c r="BP41" s="90"/>
    </row>
    <row r="42" ht="12.75" customHeight="1">
      <c r="A42" s="91"/>
      <c r="B42" s="92">
        <v>4.4</v>
      </c>
      <c r="C42" s="126" t="s">
        <v>93</v>
      </c>
      <c r="D42" s="94" t="s">
        <v>39</v>
      </c>
      <c r="E42" s="95"/>
      <c r="F42" s="96">
        <v>44662.0</v>
      </c>
      <c r="G42" s="99">
        <f t="shared" si="9"/>
        <v>44667</v>
      </c>
      <c r="H42" s="122">
        <v>6.0</v>
      </c>
      <c r="I42" s="101">
        <v>0.55</v>
      </c>
      <c r="J42" s="102">
        <f t="shared" si="4"/>
        <v>5</v>
      </c>
      <c r="K42" s="103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5"/>
      <c r="BP42" s="90"/>
    </row>
    <row r="43" ht="12.75" customHeight="1">
      <c r="A43" s="91"/>
      <c r="B43" s="92">
        <v>4.5</v>
      </c>
      <c r="C43" s="126" t="s">
        <v>94</v>
      </c>
      <c r="D43" s="94" t="s">
        <v>39</v>
      </c>
      <c r="E43" s="95"/>
      <c r="F43" s="96">
        <v>44663.0</v>
      </c>
      <c r="G43" s="99">
        <f t="shared" ref="G43:G48" si="10">IF(ISBLANK(F43)," - ",IF(H43=0,F43,F43+$H$32-1))</f>
        <v>44667</v>
      </c>
      <c r="H43" s="122">
        <v>5.0</v>
      </c>
      <c r="I43" s="101">
        <v>0.6</v>
      </c>
      <c r="J43" s="102">
        <f t="shared" si="4"/>
        <v>4</v>
      </c>
      <c r="K43" s="103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5"/>
      <c r="BP43" s="90"/>
    </row>
    <row r="44" ht="12.75" customHeight="1">
      <c r="A44" s="91"/>
      <c r="B44" s="92">
        <v>4.6</v>
      </c>
      <c r="C44" s="126" t="s">
        <v>73</v>
      </c>
      <c r="D44" s="94" t="s">
        <v>39</v>
      </c>
      <c r="E44" s="95"/>
      <c r="F44" s="96">
        <v>44664.0</v>
      </c>
      <c r="G44" s="99">
        <f t="shared" si="10"/>
        <v>44668</v>
      </c>
      <c r="H44" s="100">
        <v>5.0</v>
      </c>
      <c r="I44" s="101">
        <v>0.4</v>
      </c>
      <c r="J44" s="102">
        <f t="shared" si="4"/>
        <v>3</v>
      </c>
      <c r="K44" s="103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5"/>
      <c r="BP44" s="90"/>
    </row>
    <row r="45" ht="12.75" customHeight="1">
      <c r="A45" s="91"/>
      <c r="B45" s="92">
        <v>4.7</v>
      </c>
      <c r="C45" s="126" t="s">
        <v>75</v>
      </c>
      <c r="D45" s="94" t="s">
        <v>39</v>
      </c>
      <c r="E45" s="95"/>
      <c r="F45" s="96">
        <v>44665.0</v>
      </c>
      <c r="G45" s="99">
        <f t="shared" si="10"/>
        <v>44669</v>
      </c>
      <c r="H45" s="100">
        <v>4.0</v>
      </c>
      <c r="I45" s="101">
        <v>0.5</v>
      </c>
      <c r="J45" s="102">
        <f t="shared" si="4"/>
        <v>3</v>
      </c>
      <c r="K45" s="103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5"/>
      <c r="BP45" s="90"/>
    </row>
    <row r="46" ht="12.75" customHeight="1">
      <c r="A46" s="91"/>
      <c r="B46" s="92">
        <v>4.8</v>
      </c>
      <c r="C46" s="126" t="s">
        <v>95</v>
      </c>
      <c r="D46" s="94" t="s">
        <v>39</v>
      </c>
      <c r="E46" s="95"/>
      <c r="F46" s="96">
        <v>44666.0</v>
      </c>
      <c r="G46" s="99">
        <f t="shared" si="10"/>
        <v>44670</v>
      </c>
      <c r="H46" s="100">
        <v>6.0</v>
      </c>
      <c r="I46" s="101">
        <v>0.45</v>
      </c>
      <c r="J46" s="102">
        <f t="shared" si="4"/>
        <v>3</v>
      </c>
      <c r="K46" s="103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5"/>
      <c r="BP46" s="90"/>
    </row>
    <row r="47" ht="12.75" customHeight="1">
      <c r="A47" s="91"/>
      <c r="B47" s="92">
        <v>4.9</v>
      </c>
      <c r="C47" s="126" t="s">
        <v>90</v>
      </c>
      <c r="D47" s="94" t="s">
        <v>39</v>
      </c>
      <c r="E47" s="95"/>
      <c r="F47" s="96">
        <v>44667.0</v>
      </c>
      <c r="G47" s="99">
        <f t="shared" si="10"/>
        <v>44671</v>
      </c>
      <c r="H47" s="100">
        <v>4.0</v>
      </c>
      <c r="I47" s="101">
        <v>0.3</v>
      </c>
      <c r="J47" s="102">
        <f t="shared" si="4"/>
        <v>3</v>
      </c>
      <c r="K47" s="103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04"/>
      <c r="BL47" s="104"/>
      <c r="BM47" s="104"/>
      <c r="BN47" s="104"/>
      <c r="BO47" s="105"/>
      <c r="BP47" s="90"/>
    </row>
    <row r="48" ht="12.75" customHeight="1">
      <c r="A48" s="91"/>
      <c r="B48" s="92" t="s">
        <v>96</v>
      </c>
      <c r="C48" s="126" t="s">
        <v>97</v>
      </c>
      <c r="D48" s="94" t="s">
        <v>39</v>
      </c>
      <c r="E48" s="95"/>
      <c r="F48" s="96">
        <v>44668.0</v>
      </c>
      <c r="G48" s="99">
        <f t="shared" si="10"/>
        <v>44672</v>
      </c>
      <c r="H48" s="100">
        <v>7.0</v>
      </c>
      <c r="I48" s="101">
        <v>0.4</v>
      </c>
      <c r="J48" s="102">
        <f t="shared" si="4"/>
        <v>4</v>
      </c>
      <c r="K48" s="103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04"/>
      <c r="BN48" s="104"/>
      <c r="BO48" s="105"/>
      <c r="BP48" s="90"/>
    </row>
    <row r="49" ht="12.75" customHeight="1">
      <c r="A49" s="110"/>
      <c r="B49" s="111">
        <v>5.0</v>
      </c>
      <c r="C49" s="112" t="s">
        <v>76</v>
      </c>
      <c r="D49" s="113" t="s">
        <v>39</v>
      </c>
      <c r="E49" s="114"/>
      <c r="F49" s="96">
        <v>44664.0</v>
      </c>
      <c r="G49" s="125">
        <f t="shared" ref="G49:G53" si="11">IF(ISBLANK(F49)," - ",IF(H49=0,F49,F49+H49-1))</f>
        <v>44664</v>
      </c>
      <c r="H49" s="116"/>
      <c r="I49" s="117"/>
      <c r="J49" s="116">
        <f t="shared" si="4"/>
        <v>1</v>
      </c>
      <c r="K49" s="118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20"/>
      <c r="BP49" s="90"/>
    </row>
    <row r="50" ht="12.75" customHeight="1">
      <c r="A50" s="91"/>
      <c r="B50" s="92">
        <v>5.1</v>
      </c>
      <c r="C50" s="126" t="s">
        <v>80</v>
      </c>
      <c r="D50" s="94" t="s">
        <v>39</v>
      </c>
      <c r="E50" s="95"/>
      <c r="F50" s="96">
        <v>44665.0</v>
      </c>
      <c r="G50" s="99">
        <f t="shared" si="11"/>
        <v>44674</v>
      </c>
      <c r="H50" s="122">
        <v>10.0</v>
      </c>
      <c r="I50" s="101">
        <v>0.15</v>
      </c>
      <c r="J50" s="102">
        <f t="shared" si="4"/>
        <v>7</v>
      </c>
      <c r="K50" s="103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4"/>
      <c r="BK50" s="104"/>
      <c r="BL50" s="104"/>
      <c r="BM50" s="104"/>
      <c r="BN50" s="104"/>
      <c r="BO50" s="105"/>
      <c r="BP50" s="90"/>
    </row>
    <row r="51" ht="12.75" customHeight="1">
      <c r="A51" s="91"/>
      <c r="B51" s="92">
        <v>5.2</v>
      </c>
      <c r="C51" s="126" t="s">
        <v>81</v>
      </c>
      <c r="D51" s="94" t="s">
        <v>39</v>
      </c>
      <c r="E51" s="95"/>
      <c r="F51" s="96">
        <v>44666.0</v>
      </c>
      <c r="G51" s="99">
        <f t="shared" si="11"/>
        <v>44675</v>
      </c>
      <c r="H51" s="122">
        <v>10.0</v>
      </c>
      <c r="I51" s="101">
        <v>0.65</v>
      </c>
      <c r="J51" s="102">
        <f t="shared" si="4"/>
        <v>6</v>
      </c>
      <c r="K51" s="103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5"/>
      <c r="BP51" s="90"/>
    </row>
    <row r="52" ht="12.75" customHeight="1">
      <c r="A52" s="91"/>
      <c r="B52" s="92">
        <v>5.3</v>
      </c>
      <c r="C52" s="126" t="s">
        <v>98</v>
      </c>
      <c r="D52" s="94" t="s">
        <v>39</v>
      </c>
      <c r="E52" s="95"/>
      <c r="F52" s="96">
        <v>44667.0</v>
      </c>
      <c r="G52" s="99">
        <f t="shared" si="11"/>
        <v>44676</v>
      </c>
      <c r="H52" s="122">
        <v>10.0</v>
      </c>
      <c r="I52" s="101">
        <v>0.4</v>
      </c>
      <c r="J52" s="102">
        <f t="shared" si="4"/>
        <v>6</v>
      </c>
      <c r="K52" s="103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105"/>
      <c r="BP52" s="90"/>
    </row>
    <row r="53" ht="12.75" customHeight="1">
      <c r="A53" s="91"/>
      <c r="B53" s="92">
        <v>5.4</v>
      </c>
      <c r="C53" s="126" t="s">
        <v>99</v>
      </c>
      <c r="D53" s="94" t="s">
        <v>39</v>
      </c>
      <c r="E53" s="95"/>
      <c r="F53" s="96">
        <v>44668.0</v>
      </c>
      <c r="G53" s="99">
        <f t="shared" si="11"/>
        <v>44669</v>
      </c>
      <c r="H53" s="122">
        <v>2.0</v>
      </c>
      <c r="I53" s="101">
        <v>0.7</v>
      </c>
      <c r="J53" s="102">
        <f t="shared" si="4"/>
        <v>1</v>
      </c>
      <c r="K53" s="103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5"/>
      <c r="BP53" s="90"/>
    </row>
    <row r="54" ht="12.75" customHeight="1">
      <c r="A54" s="91"/>
      <c r="B54" s="92">
        <v>5.5</v>
      </c>
      <c r="C54" s="126" t="s">
        <v>100</v>
      </c>
      <c r="D54" s="94" t="s">
        <v>39</v>
      </c>
      <c r="E54" s="95"/>
      <c r="F54" s="96">
        <v>44669.0</v>
      </c>
      <c r="G54" s="99">
        <f t="shared" ref="G54:G59" si="12">IF(ISBLANK(F54)," - ",IF(H54=0,F54,F54+$H$54-1))</f>
        <v>44670</v>
      </c>
      <c r="H54" s="122">
        <v>2.0</v>
      </c>
      <c r="I54" s="101">
        <v>0.8</v>
      </c>
      <c r="J54" s="102">
        <f t="shared" si="4"/>
        <v>2</v>
      </c>
      <c r="K54" s="103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5"/>
      <c r="BP54" s="90"/>
    </row>
    <row r="55" ht="12.75" customHeight="1">
      <c r="A55" s="91"/>
      <c r="B55" s="92">
        <v>5.6</v>
      </c>
      <c r="C55" s="126" t="s">
        <v>101</v>
      </c>
      <c r="D55" s="94" t="s">
        <v>39</v>
      </c>
      <c r="E55" s="95"/>
      <c r="F55" s="96">
        <v>44670.0</v>
      </c>
      <c r="G55" s="99">
        <f t="shared" si="12"/>
        <v>44671</v>
      </c>
      <c r="H55" s="147">
        <v>4.0</v>
      </c>
      <c r="I55" s="127">
        <v>0.3</v>
      </c>
      <c r="J55" s="102"/>
      <c r="K55" s="103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5"/>
      <c r="BP55" s="90"/>
    </row>
    <row r="56" ht="12.75" customHeight="1">
      <c r="A56" s="91"/>
      <c r="B56" s="92">
        <v>5.7</v>
      </c>
      <c r="C56" s="126" t="s">
        <v>102</v>
      </c>
      <c r="D56" s="94" t="s">
        <v>39</v>
      </c>
      <c r="E56" s="95"/>
      <c r="F56" s="96">
        <v>44671.0</v>
      </c>
      <c r="G56" s="99">
        <f t="shared" si="12"/>
        <v>44672</v>
      </c>
      <c r="H56" s="147">
        <v>5.0</v>
      </c>
      <c r="I56" s="127">
        <v>0.45</v>
      </c>
      <c r="J56" s="102"/>
      <c r="K56" s="103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5"/>
      <c r="BP56" s="90"/>
    </row>
    <row r="57" ht="12.75" customHeight="1">
      <c r="A57" s="91"/>
      <c r="B57" s="92">
        <v>5.8</v>
      </c>
      <c r="C57" s="126" t="s">
        <v>103</v>
      </c>
      <c r="D57" s="94" t="s">
        <v>39</v>
      </c>
      <c r="E57" s="95"/>
      <c r="F57" s="96">
        <v>44672.0</v>
      </c>
      <c r="G57" s="99">
        <f t="shared" si="12"/>
        <v>44673</v>
      </c>
      <c r="H57" s="147">
        <v>6.0</v>
      </c>
      <c r="I57" s="127">
        <v>0.4</v>
      </c>
      <c r="J57" s="102"/>
      <c r="K57" s="103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5"/>
      <c r="BP57" s="90"/>
    </row>
    <row r="58" ht="12.75" customHeight="1">
      <c r="A58" s="91"/>
      <c r="B58" s="92">
        <v>5.9</v>
      </c>
      <c r="C58" s="126" t="s">
        <v>104</v>
      </c>
      <c r="D58" s="94" t="s">
        <v>39</v>
      </c>
      <c r="E58" s="95"/>
      <c r="F58" s="96">
        <v>44673.0</v>
      </c>
      <c r="G58" s="99">
        <f t="shared" si="12"/>
        <v>44674</v>
      </c>
      <c r="H58" s="147">
        <v>5.0</v>
      </c>
      <c r="I58" s="127">
        <v>0.5</v>
      </c>
      <c r="J58" s="102"/>
      <c r="K58" s="103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5"/>
      <c r="BP58" s="90"/>
    </row>
    <row r="59" ht="12.75" customHeight="1">
      <c r="A59" s="91"/>
      <c r="B59" s="128" t="s">
        <v>84</v>
      </c>
      <c r="C59" s="129" t="s">
        <v>97</v>
      </c>
      <c r="D59" s="130" t="s">
        <v>39</v>
      </c>
      <c r="E59" s="131"/>
      <c r="F59" s="132">
        <v>44674.0</v>
      </c>
      <c r="G59" s="133">
        <f t="shared" si="12"/>
        <v>44675</v>
      </c>
      <c r="H59" s="134">
        <v>4.0</v>
      </c>
      <c r="I59" s="135">
        <v>0.7</v>
      </c>
      <c r="J59" s="136"/>
      <c r="K59" s="137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  <c r="BM59" s="138"/>
      <c r="BN59" s="138"/>
      <c r="BO59" s="139"/>
      <c r="BP59" s="90"/>
    </row>
    <row r="60" ht="12.75" customHeight="1">
      <c r="A60" s="90"/>
      <c r="B60" s="140"/>
      <c r="C60" s="141"/>
      <c r="D60" s="141"/>
      <c r="E60" s="142"/>
      <c r="F60" s="143"/>
      <c r="G60" s="143"/>
      <c r="H60" s="144"/>
      <c r="I60" s="145"/>
      <c r="J60" s="144" t="str">
        <f>IF(OR(G60=0,F60=0)," - ",NETWORKDAYS(F60,G60))</f>
        <v> - </v>
      </c>
      <c r="K60" s="146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0"/>
      <c r="BC60" s="140"/>
      <c r="BD60" s="140"/>
      <c r="BE60" s="140"/>
      <c r="BF60" s="140"/>
      <c r="BG60" s="140"/>
      <c r="BH60" s="140"/>
      <c r="BI60" s="140"/>
      <c r="BJ60" s="140"/>
      <c r="BK60" s="140"/>
      <c r="BL60" s="140"/>
      <c r="BM60" s="140"/>
      <c r="BN60" s="140"/>
      <c r="BO60" s="140"/>
      <c r="BP60" s="90"/>
    </row>
  </sheetData>
  <mergeCells count="20">
    <mergeCell ref="AU2:BA2"/>
    <mergeCell ref="BB2:BH2"/>
    <mergeCell ref="BI2:BO2"/>
    <mergeCell ref="L2:R2"/>
    <mergeCell ref="L3:R3"/>
    <mergeCell ref="D4:F4"/>
    <mergeCell ref="S3:Y3"/>
    <mergeCell ref="Z3:AF3"/>
    <mergeCell ref="AG3:AM3"/>
    <mergeCell ref="AN3:AT3"/>
    <mergeCell ref="AU3:BA3"/>
    <mergeCell ref="BB3:BH3"/>
    <mergeCell ref="BI3:BO3"/>
    <mergeCell ref="D2:F2"/>
    <mergeCell ref="I2:K2"/>
    <mergeCell ref="S2:Y2"/>
    <mergeCell ref="Z2:AF2"/>
    <mergeCell ref="AG2:AM2"/>
    <mergeCell ref="AN2:AT2"/>
    <mergeCell ref="D3:F3"/>
  </mergeCells>
  <conditionalFormatting sqref="L4:BP5">
    <cfRule type="expression" dxfId="4" priority="1">
      <formula>L$4=TODAY()</formula>
    </cfRule>
  </conditionalFormatting>
  <conditionalFormatting sqref="L6:BP60">
    <cfRule type="expression" dxfId="5" priority="2">
      <formula>AND($F6&lt;=L$4,ROUNDDOWN(($G6-$F6+1)*$I6,0)+$F6-1&gt;=L$4)</formula>
    </cfRule>
  </conditionalFormatting>
  <conditionalFormatting sqref="L6:BP60">
    <cfRule type="expression" dxfId="6" priority="3">
      <formula>AND(NOT(ISBLANK($F6)),$F6&lt;=L$4,$G6&gt;=L$4)</formula>
    </cfRule>
  </conditionalFormatting>
  <conditionalFormatting sqref="L4:BP60">
    <cfRule type="expression" dxfId="7" priority="4">
      <formula>L$4=TODAY()</formula>
    </cfRule>
  </conditionalFormatting>
  <conditionalFormatting sqref="D2:F2 I2:K2">
    <cfRule type="notContainsBlanks" dxfId="8" priority="5">
      <formula>LEN(TRIM(D2))&gt;0</formula>
    </cfRule>
  </conditionalFormatting>
  <dataValidations>
    <dataValidation type="custom" allowBlank="1" showDropDown="1" sqref="F1:G1 F7:G60">
      <formula1>OR(NOT(ISERROR(DATEVALUE(F1))), AND(ISNUMBER(F1), LEFT(CELL("format", F1))="D"))</formula1>
    </dataValidation>
  </dataValidations>
  <printOptions/>
  <pageMargins bottom="0.5" footer="0.0" header="0.0" left="0.25" right="0.25" top="0.5"/>
  <pageSetup fitToHeight="0" paperSize="3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Row="1"/>
  <cols>
    <col customWidth="1" min="1" max="1" width="3.0"/>
    <col customWidth="1" min="2" max="2" width="5.13"/>
    <col customWidth="1" min="3" max="3" width="26.38"/>
    <col customWidth="1" min="4" max="4" width="12.38"/>
    <col customWidth="1" hidden="1" min="5" max="5" width="11.38"/>
    <col customWidth="1" min="6" max="6" width="10.5"/>
    <col customWidth="1" min="7" max="7" width="13.63"/>
    <col customWidth="1" min="8" max="8" width="9.88"/>
    <col customWidth="1" min="9" max="9" width="5.88"/>
    <col customWidth="1" hidden="1" min="10" max="10" width="7.25"/>
    <col customWidth="1" min="11" max="11" width="1.63"/>
    <col customWidth="1" min="12" max="64" width="2.13"/>
    <col customWidth="1" min="65" max="66" width="2.63"/>
  </cols>
  <sheetData>
    <row r="1" ht="12.75" customHeight="1">
      <c r="A1" s="5"/>
      <c r="B1" s="7"/>
      <c r="C1" s="9"/>
      <c r="D1" s="9"/>
      <c r="E1" s="9"/>
      <c r="F1" s="12"/>
      <c r="G1" s="12"/>
      <c r="H1" s="9"/>
      <c r="I1" s="14"/>
      <c r="J1" s="9" t="str">
        <f>TEXT(D2,"MMMMMM")</f>
        <v>January</v>
      </c>
      <c r="K1" s="9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30"/>
    </row>
    <row r="2" ht="12.75" customHeight="1">
      <c r="A2" s="30"/>
      <c r="B2" s="32"/>
      <c r="C2" s="33" t="s">
        <v>7</v>
      </c>
      <c r="D2" s="34">
        <v>45292.0</v>
      </c>
      <c r="E2" s="35"/>
      <c r="F2" s="35"/>
      <c r="G2" s="36"/>
      <c r="H2" s="37" t="s">
        <v>8</v>
      </c>
      <c r="I2" s="38">
        <v>1.0</v>
      </c>
      <c r="J2" s="35"/>
      <c r="K2" s="35"/>
      <c r="L2" s="40" t="s">
        <v>9</v>
      </c>
      <c r="M2" s="41"/>
      <c r="N2" s="41"/>
      <c r="O2" s="41"/>
      <c r="P2" s="43"/>
      <c r="Q2" s="40" t="s">
        <v>10</v>
      </c>
      <c r="R2" s="41"/>
      <c r="S2" s="41"/>
      <c r="T2" s="41"/>
      <c r="U2" s="41"/>
      <c r="V2" s="41"/>
      <c r="W2" s="43"/>
      <c r="X2" s="40" t="s">
        <v>11</v>
      </c>
      <c r="Y2" s="41"/>
      <c r="Z2" s="41"/>
      <c r="AA2" s="41"/>
      <c r="AB2" s="41"/>
      <c r="AC2" s="41"/>
      <c r="AD2" s="43"/>
      <c r="AE2" s="40" t="s">
        <v>12</v>
      </c>
      <c r="AF2" s="41"/>
      <c r="AG2" s="41"/>
      <c r="AH2" s="41"/>
      <c r="AI2" s="41"/>
      <c r="AJ2" s="41"/>
      <c r="AK2" s="43"/>
      <c r="AL2" s="40" t="s">
        <v>13</v>
      </c>
      <c r="AM2" s="41"/>
      <c r="AN2" s="41"/>
      <c r="AO2" s="41"/>
      <c r="AP2" s="41"/>
      <c r="AQ2" s="41"/>
      <c r="AR2" s="43"/>
      <c r="AS2" s="40" t="s">
        <v>14</v>
      </c>
      <c r="AT2" s="41"/>
      <c r="AU2" s="41"/>
      <c r="AV2" s="41"/>
      <c r="AW2" s="41"/>
      <c r="AX2" s="41"/>
      <c r="AY2" s="43"/>
      <c r="AZ2" s="40" t="s">
        <v>15</v>
      </c>
      <c r="BA2" s="41"/>
      <c r="BB2" s="41"/>
      <c r="BC2" s="41"/>
      <c r="BD2" s="41"/>
      <c r="BE2" s="41"/>
      <c r="BF2" s="43"/>
      <c r="BG2" s="40" t="s">
        <v>16</v>
      </c>
      <c r="BH2" s="41"/>
      <c r="BI2" s="41"/>
      <c r="BJ2" s="41"/>
      <c r="BK2" s="41"/>
      <c r="BL2" s="41"/>
      <c r="BM2" s="44"/>
      <c r="BN2" s="45"/>
    </row>
    <row r="3" ht="17.25" customHeight="1">
      <c r="A3" s="30"/>
      <c r="B3" s="46"/>
      <c r="C3" s="47" t="s">
        <v>17</v>
      </c>
      <c r="D3" s="48" t="str">
        <f>text(D2,"Mmmmmm")</f>
        <v>January</v>
      </c>
      <c r="E3" s="49"/>
      <c r="F3" s="49"/>
      <c r="G3" s="50"/>
      <c r="H3" s="51"/>
      <c r="I3" s="52"/>
      <c r="J3" s="51"/>
      <c r="K3" s="51"/>
      <c r="L3" s="53" t="s">
        <v>18</v>
      </c>
      <c r="P3" s="54"/>
      <c r="Q3" s="53" t="s">
        <v>19</v>
      </c>
      <c r="W3" s="54"/>
      <c r="X3" s="53" t="s">
        <v>20</v>
      </c>
      <c r="AD3" s="54"/>
      <c r="AE3" s="53" t="s">
        <v>21</v>
      </c>
      <c r="AK3" s="54"/>
      <c r="AL3" s="53" t="s">
        <v>22</v>
      </c>
      <c r="AR3" s="54"/>
      <c r="AS3" s="53" t="s">
        <v>23</v>
      </c>
      <c r="AY3" s="54"/>
      <c r="AZ3" s="53" t="s">
        <v>24</v>
      </c>
      <c r="BF3" s="54"/>
      <c r="BG3" s="53" t="s">
        <v>25</v>
      </c>
      <c r="BM3" s="55"/>
      <c r="BN3" s="56"/>
    </row>
    <row r="4" ht="12.75" hidden="1" customHeight="1">
      <c r="A4" s="30"/>
      <c r="B4" s="46"/>
      <c r="C4" s="57" t="s">
        <v>26</v>
      </c>
      <c r="D4" s="48" t="s">
        <v>28</v>
      </c>
      <c r="E4" s="49"/>
      <c r="F4" s="58"/>
      <c r="G4" s="50"/>
      <c r="H4" s="51"/>
      <c r="I4" s="59"/>
      <c r="J4" s="51"/>
      <c r="K4" s="51"/>
      <c r="L4" s="60"/>
      <c r="M4" s="61"/>
      <c r="N4" s="61"/>
      <c r="O4" s="61"/>
      <c r="P4" s="61"/>
      <c r="Q4" s="60"/>
      <c r="R4" s="61"/>
      <c r="S4" s="61"/>
      <c r="T4" s="61"/>
      <c r="U4" s="61"/>
      <c r="V4" s="61"/>
      <c r="W4" s="63"/>
      <c r="X4" s="60"/>
      <c r="Y4" s="61"/>
      <c r="Z4" s="61"/>
      <c r="AA4" s="61"/>
      <c r="AB4" s="61"/>
      <c r="AC4" s="61"/>
      <c r="AD4" s="63"/>
      <c r="AE4" s="60"/>
      <c r="AF4" s="61"/>
      <c r="AG4" s="61"/>
      <c r="AH4" s="61"/>
      <c r="AI4" s="61"/>
      <c r="AJ4" s="61"/>
      <c r="AK4" s="63"/>
      <c r="AL4" s="60"/>
      <c r="AM4" s="61"/>
      <c r="AN4" s="61"/>
      <c r="AO4" s="61"/>
      <c r="AP4" s="61"/>
      <c r="AQ4" s="61"/>
      <c r="AR4" s="63"/>
      <c r="AS4" s="60"/>
      <c r="AT4" s="61"/>
      <c r="AU4" s="61"/>
      <c r="AV4" s="61"/>
      <c r="AW4" s="61"/>
      <c r="AX4" s="61"/>
      <c r="AY4" s="63"/>
      <c r="AZ4" s="60"/>
      <c r="BA4" s="61"/>
      <c r="BB4" s="61"/>
      <c r="BC4" s="61"/>
      <c r="BD4" s="61"/>
      <c r="BE4" s="61"/>
      <c r="BF4" s="63"/>
      <c r="BG4" s="60"/>
      <c r="BH4" s="61"/>
      <c r="BI4" s="61"/>
      <c r="BJ4" s="61"/>
      <c r="BK4" s="61"/>
      <c r="BL4" s="61"/>
      <c r="BM4" s="64"/>
      <c r="BN4" s="65"/>
    </row>
    <row r="5" ht="24.75" customHeight="1">
      <c r="A5" s="66"/>
      <c r="B5" s="67" t="s">
        <v>29</v>
      </c>
      <c r="C5" s="68" t="s">
        <v>30</v>
      </c>
      <c r="D5" s="69" t="s">
        <v>31</v>
      </c>
      <c r="E5" s="70" t="s">
        <v>32</v>
      </c>
      <c r="F5" s="71" t="s">
        <v>33</v>
      </c>
      <c r="G5" s="71" t="s">
        <v>34</v>
      </c>
      <c r="H5" s="69" t="s">
        <v>35</v>
      </c>
      <c r="I5" s="72" t="s">
        <v>36</v>
      </c>
      <c r="J5" s="69" t="s">
        <v>37</v>
      </c>
      <c r="K5" s="73"/>
      <c r="L5" s="74"/>
      <c r="M5" s="75"/>
      <c r="N5" s="75"/>
      <c r="O5" s="75"/>
      <c r="P5" s="75"/>
      <c r="Q5" s="74"/>
      <c r="R5" s="75"/>
      <c r="S5" s="75"/>
      <c r="T5" s="75"/>
      <c r="U5" s="75"/>
      <c r="V5" s="75"/>
      <c r="W5" s="76"/>
      <c r="X5" s="74"/>
      <c r="Y5" s="75"/>
      <c r="Z5" s="75"/>
      <c r="AA5" s="75"/>
      <c r="AB5" s="75"/>
      <c r="AC5" s="75"/>
      <c r="AD5" s="76"/>
      <c r="AE5" s="74"/>
      <c r="AF5" s="75"/>
      <c r="AG5" s="75"/>
      <c r="AH5" s="75"/>
      <c r="AI5" s="75"/>
      <c r="AJ5" s="75"/>
      <c r="AK5" s="76"/>
      <c r="AL5" s="74"/>
      <c r="AM5" s="75"/>
      <c r="AN5" s="75"/>
      <c r="AO5" s="75"/>
      <c r="AP5" s="75"/>
      <c r="AQ5" s="75"/>
      <c r="AR5" s="76"/>
      <c r="AS5" s="74"/>
      <c r="AT5" s="75"/>
      <c r="AU5" s="75"/>
      <c r="AV5" s="75"/>
      <c r="AW5" s="75"/>
      <c r="AX5" s="75"/>
      <c r="AY5" s="76"/>
      <c r="AZ5" s="74"/>
      <c r="BA5" s="75"/>
      <c r="BB5" s="75"/>
      <c r="BC5" s="75"/>
      <c r="BD5" s="75"/>
      <c r="BE5" s="75"/>
      <c r="BF5" s="76"/>
      <c r="BG5" s="74"/>
      <c r="BH5" s="75"/>
      <c r="BI5" s="75"/>
      <c r="BJ5" s="75"/>
      <c r="BK5" s="75"/>
      <c r="BL5" s="75"/>
      <c r="BM5" s="77"/>
      <c r="BN5" s="78"/>
    </row>
    <row r="6" ht="12.75" customHeight="1">
      <c r="A6" s="79"/>
      <c r="B6" s="80" t="str">
        <f>IF(ISERROR(VALUE(SUBSTITUTE('Copy of Copy of GanttChart'!prevWBS,".",""))),"1",IF(ISERROR(FIND("`",SUBSTITUTE('Copy of Copy of GanttChart'!prevWBS,".","`",1))),TEXT(VALUE('Copy of Copy of GanttChart'!prevWBS)+1,"#"),TEXT(VALUE(LEFT('Copy of Copy of GanttChart'!prevWBS,FIND("`",SUBSTITUTE('Copy of Copy of GanttChart'!prevWBS,".","`",1))-1))+1,"#")))</f>
        <v>1</v>
      </c>
      <c r="C6" s="81" t="s">
        <v>38</v>
      </c>
      <c r="D6" s="82" t="s">
        <v>39</v>
      </c>
      <c r="E6" s="83"/>
      <c r="F6" s="84">
        <v>45292.0</v>
      </c>
      <c r="G6" s="84">
        <v>45322.0</v>
      </c>
      <c r="H6" s="85"/>
      <c r="I6" s="86"/>
      <c r="J6" s="85">
        <f t="shared" ref="J6:J30" si="1">IF(OR(G6=0,F6=0)," - ",NETWORKDAYS(F6,G6))</f>
        <v>23</v>
      </c>
      <c r="K6" s="87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9"/>
      <c r="BN6" s="90"/>
    </row>
    <row r="7" ht="12.75" customHeight="1">
      <c r="A7" s="91"/>
      <c r="B7" s="92">
        <v>1.1</v>
      </c>
      <c r="C7" s="93" t="s">
        <v>40</v>
      </c>
      <c r="D7" s="94" t="s">
        <v>39</v>
      </c>
      <c r="E7" s="95"/>
      <c r="F7" s="96">
        <v>45292.0</v>
      </c>
      <c r="G7" s="99">
        <f t="shared" ref="G7:G12" si="2">IF(ISBLANK(F7)," - ",IF(H7=0,F7,F7+H7))</f>
        <v>45322</v>
      </c>
      <c r="H7" s="100">
        <v>30.0</v>
      </c>
      <c r="I7" s="101">
        <v>0.0</v>
      </c>
      <c r="J7" s="102">
        <f t="shared" si="1"/>
        <v>23</v>
      </c>
      <c r="K7" s="103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5"/>
      <c r="BN7" s="90"/>
    </row>
    <row r="8" ht="12.75" customHeight="1">
      <c r="A8" s="91"/>
      <c r="B8" s="92">
        <v>1.2</v>
      </c>
      <c r="C8" s="106" t="s">
        <v>41</v>
      </c>
      <c r="D8" s="94" t="s">
        <v>39</v>
      </c>
      <c r="E8" s="95"/>
      <c r="F8" s="96">
        <v>45292.0</v>
      </c>
      <c r="G8" s="99">
        <f t="shared" si="2"/>
        <v>45322</v>
      </c>
      <c r="H8" s="100">
        <v>30.0</v>
      </c>
      <c r="I8" s="101">
        <v>0.0</v>
      </c>
      <c r="J8" s="102">
        <f t="shared" si="1"/>
        <v>23</v>
      </c>
      <c r="K8" s="103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5"/>
      <c r="BN8" s="90"/>
    </row>
    <row r="9" ht="12.75" customHeight="1">
      <c r="A9" s="91"/>
      <c r="B9" s="92">
        <v>1.3</v>
      </c>
      <c r="C9" s="106" t="s">
        <v>43</v>
      </c>
      <c r="D9" s="94" t="s">
        <v>39</v>
      </c>
      <c r="E9" s="95"/>
      <c r="F9" s="96">
        <v>45292.0</v>
      </c>
      <c r="G9" s="99">
        <f t="shared" si="2"/>
        <v>45322</v>
      </c>
      <c r="H9" s="100">
        <v>30.0</v>
      </c>
      <c r="I9" s="101">
        <v>0.0</v>
      </c>
      <c r="J9" s="102">
        <f t="shared" si="1"/>
        <v>23</v>
      </c>
      <c r="K9" s="103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5"/>
      <c r="BN9" s="90"/>
    </row>
    <row r="10" ht="12.75" customHeight="1">
      <c r="A10" s="91"/>
      <c r="B10" s="92">
        <v>1.4</v>
      </c>
      <c r="C10" s="93" t="s">
        <v>44</v>
      </c>
      <c r="D10" s="94" t="s">
        <v>39</v>
      </c>
      <c r="E10" s="95"/>
      <c r="F10" s="96">
        <v>45292.0</v>
      </c>
      <c r="G10" s="99">
        <f t="shared" si="2"/>
        <v>45322</v>
      </c>
      <c r="H10" s="100">
        <v>30.0</v>
      </c>
      <c r="I10" s="101">
        <v>0.0</v>
      </c>
      <c r="J10" s="102">
        <f t="shared" si="1"/>
        <v>23</v>
      </c>
      <c r="K10" s="103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5"/>
      <c r="BN10" s="90"/>
    </row>
    <row r="11" ht="12.75" customHeight="1">
      <c r="A11" s="91"/>
      <c r="B11" s="92">
        <v>1.5</v>
      </c>
      <c r="C11" s="93" t="s">
        <v>46</v>
      </c>
      <c r="D11" s="94" t="s">
        <v>39</v>
      </c>
      <c r="E11" s="95"/>
      <c r="F11" s="96">
        <v>45292.0</v>
      </c>
      <c r="G11" s="99">
        <f t="shared" si="2"/>
        <v>45322</v>
      </c>
      <c r="H11" s="100">
        <v>30.0</v>
      </c>
      <c r="I11" s="101">
        <v>0.0</v>
      </c>
      <c r="J11" s="102">
        <f t="shared" si="1"/>
        <v>23</v>
      </c>
      <c r="K11" s="103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5"/>
      <c r="BN11" s="90"/>
    </row>
    <row r="12" ht="12.75" customHeight="1">
      <c r="A12" s="91"/>
      <c r="B12" s="92">
        <v>1.6</v>
      </c>
      <c r="C12" s="93" t="s">
        <v>48</v>
      </c>
      <c r="D12" s="94" t="s">
        <v>39</v>
      </c>
      <c r="E12" s="95"/>
      <c r="F12" s="96">
        <v>45292.0</v>
      </c>
      <c r="G12" s="99">
        <f t="shared" si="2"/>
        <v>45322</v>
      </c>
      <c r="H12" s="100">
        <v>30.0</v>
      </c>
      <c r="I12" s="101">
        <v>0.0</v>
      </c>
      <c r="J12" s="102">
        <f t="shared" si="1"/>
        <v>23</v>
      </c>
      <c r="K12" s="103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5"/>
      <c r="BN12" s="90"/>
    </row>
    <row r="13" ht="12.75" customHeight="1">
      <c r="A13" s="110"/>
      <c r="B13" s="111">
        <v>2.0</v>
      </c>
      <c r="C13" s="112" t="s">
        <v>50</v>
      </c>
      <c r="D13" s="113" t="s">
        <v>39</v>
      </c>
      <c r="E13" s="114"/>
      <c r="F13" s="115">
        <v>45323.0</v>
      </c>
      <c r="G13" s="115">
        <v>45351.0</v>
      </c>
      <c r="H13" s="116"/>
      <c r="I13" s="117"/>
      <c r="J13" s="116">
        <f t="shared" si="1"/>
        <v>21</v>
      </c>
      <c r="K13" s="118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20"/>
      <c r="BN13" s="90"/>
    </row>
    <row r="14" ht="12.75" customHeight="1">
      <c r="A14" s="91"/>
      <c r="B14" s="92">
        <v>2.1</v>
      </c>
      <c r="C14" s="121" t="s">
        <v>52</v>
      </c>
      <c r="D14" s="94" t="s">
        <v>39</v>
      </c>
      <c r="E14" s="95"/>
      <c r="F14" s="96">
        <v>45323.0</v>
      </c>
      <c r="G14" s="99">
        <f t="shared" ref="G14:G18" si="3">IF(ISBLANK(F14)," - ",IF(H14=0,F14,F14+H14))</f>
        <v>45351</v>
      </c>
      <c r="H14" s="100">
        <v>28.0</v>
      </c>
      <c r="I14" s="101">
        <v>0.0</v>
      </c>
      <c r="J14" s="102">
        <f t="shared" si="1"/>
        <v>21</v>
      </c>
      <c r="K14" s="103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5"/>
      <c r="BN14" s="90"/>
    </row>
    <row r="15" ht="12.75" customHeight="1">
      <c r="A15" s="91"/>
      <c r="B15" s="92">
        <v>2.2</v>
      </c>
      <c r="C15" s="121" t="s">
        <v>54</v>
      </c>
      <c r="D15" s="94" t="s">
        <v>39</v>
      </c>
      <c r="E15" s="95"/>
      <c r="F15" s="96">
        <v>45323.0</v>
      </c>
      <c r="G15" s="99">
        <f t="shared" si="3"/>
        <v>45351</v>
      </c>
      <c r="H15" s="100">
        <v>28.0</v>
      </c>
      <c r="I15" s="123">
        <v>0.0</v>
      </c>
      <c r="J15" s="102">
        <f t="shared" si="1"/>
        <v>21</v>
      </c>
      <c r="K15" s="103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5"/>
      <c r="BN15" s="90"/>
    </row>
    <row r="16" ht="12.75" customHeight="1">
      <c r="A16" s="91"/>
      <c r="B16" s="92">
        <v>2.3</v>
      </c>
      <c r="C16" s="124" t="s">
        <v>56</v>
      </c>
      <c r="D16" s="94" t="s">
        <v>39</v>
      </c>
      <c r="E16" s="95"/>
      <c r="F16" s="96">
        <v>45323.0</v>
      </c>
      <c r="G16" s="99">
        <f t="shared" si="3"/>
        <v>45351</v>
      </c>
      <c r="H16" s="100">
        <v>28.0</v>
      </c>
      <c r="I16" s="101">
        <v>0.0</v>
      </c>
      <c r="J16" s="102">
        <f t="shared" si="1"/>
        <v>21</v>
      </c>
      <c r="K16" s="103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5"/>
      <c r="BN16" s="90"/>
    </row>
    <row r="17" ht="12.75" customHeight="1">
      <c r="A17" s="91"/>
      <c r="B17" s="92">
        <v>2.4</v>
      </c>
      <c r="C17" s="121" t="s">
        <v>58</v>
      </c>
      <c r="D17" s="94" t="s">
        <v>39</v>
      </c>
      <c r="E17" s="95"/>
      <c r="F17" s="96">
        <v>45323.0</v>
      </c>
      <c r="G17" s="99">
        <f t="shared" si="3"/>
        <v>45351</v>
      </c>
      <c r="H17" s="100">
        <v>28.0</v>
      </c>
      <c r="I17" s="101">
        <v>0.0</v>
      </c>
      <c r="J17" s="102">
        <f t="shared" si="1"/>
        <v>21</v>
      </c>
      <c r="K17" s="103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5"/>
      <c r="BN17" s="90"/>
    </row>
    <row r="18" ht="12.75" customHeight="1">
      <c r="A18" s="91"/>
      <c r="B18" s="92">
        <v>2.5</v>
      </c>
      <c r="C18" s="121" t="s">
        <v>59</v>
      </c>
      <c r="D18" s="94" t="s">
        <v>39</v>
      </c>
      <c r="E18" s="95"/>
      <c r="F18" s="96">
        <v>45323.0</v>
      </c>
      <c r="G18" s="99">
        <f t="shared" si="3"/>
        <v>45351</v>
      </c>
      <c r="H18" s="100">
        <v>28.0</v>
      </c>
      <c r="I18" s="101">
        <v>0.0</v>
      </c>
      <c r="J18" s="102">
        <f t="shared" si="1"/>
        <v>21</v>
      </c>
      <c r="K18" s="103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5"/>
      <c r="BN18" s="90"/>
    </row>
    <row r="19" ht="12.75" customHeight="1">
      <c r="A19" s="110"/>
      <c r="B19" s="111">
        <v>3.0</v>
      </c>
      <c r="C19" s="112" t="s">
        <v>60</v>
      </c>
      <c r="D19" s="113" t="s">
        <v>39</v>
      </c>
      <c r="E19" s="114"/>
      <c r="F19" s="115">
        <v>45352.0</v>
      </c>
      <c r="G19" s="115">
        <v>45382.0</v>
      </c>
      <c r="H19" s="116"/>
      <c r="I19" s="117"/>
      <c r="J19" s="116">
        <f t="shared" si="1"/>
        <v>21</v>
      </c>
      <c r="K19" s="118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20"/>
      <c r="BN19" s="90"/>
    </row>
    <row r="20" ht="12.75" customHeight="1">
      <c r="A20" s="91"/>
      <c r="B20" s="92">
        <v>3.1</v>
      </c>
      <c r="C20" s="124" t="s">
        <v>62</v>
      </c>
      <c r="D20" s="94" t="s">
        <v>39</v>
      </c>
      <c r="E20" s="95"/>
      <c r="F20" s="96">
        <v>45352.0</v>
      </c>
      <c r="G20" s="99">
        <f t="shared" ref="G20:G23" si="4">IF(ISBLANK(F20)," - ",IF(H20=0,F20,F20+H20))</f>
        <v>45382</v>
      </c>
      <c r="H20" s="100">
        <v>30.0</v>
      </c>
      <c r="I20" s="101">
        <v>0.0</v>
      </c>
      <c r="J20" s="102">
        <f t="shared" si="1"/>
        <v>21</v>
      </c>
      <c r="K20" s="103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5"/>
      <c r="BN20" s="90"/>
    </row>
    <row r="21" ht="12.75" customHeight="1">
      <c r="A21" s="91"/>
      <c r="B21" s="92">
        <v>3.2</v>
      </c>
      <c r="C21" s="126" t="s">
        <v>64</v>
      </c>
      <c r="D21" s="94" t="s">
        <v>39</v>
      </c>
      <c r="E21" s="95"/>
      <c r="F21" s="96">
        <v>45352.0</v>
      </c>
      <c r="G21" s="99">
        <f t="shared" si="4"/>
        <v>45382</v>
      </c>
      <c r="H21" s="100">
        <v>30.0</v>
      </c>
      <c r="I21" s="101">
        <v>0.0</v>
      </c>
      <c r="J21" s="102">
        <f t="shared" si="1"/>
        <v>21</v>
      </c>
      <c r="K21" s="103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5"/>
      <c r="BN21" s="90"/>
    </row>
    <row r="22" ht="12.75" customHeight="1">
      <c r="A22" s="91"/>
      <c r="B22" s="92">
        <v>3.3</v>
      </c>
      <c r="C22" s="126" t="s">
        <v>66</v>
      </c>
      <c r="D22" s="94" t="s">
        <v>39</v>
      </c>
      <c r="E22" s="95"/>
      <c r="F22" s="96">
        <v>45352.0</v>
      </c>
      <c r="G22" s="99">
        <f t="shared" si="4"/>
        <v>45382</v>
      </c>
      <c r="H22" s="100">
        <v>30.0</v>
      </c>
      <c r="I22" s="101">
        <v>0.0</v>
      </c>
      <c r="J22" s="102">
        <f t="shared" si="1"/>
        <v>21</v>
      </c>
      <c r="K22" s="103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5"/>
      <c r="BN22" s="90"/>
    </row>
    <row r="23" ht="12.75" customHeight="1">
      <c r="A23" s="91"/>
      <c r="B23" s="92">
        <v>3.4</v>
      </c>
      <c r="C23" s="126" t="s">
        <v>68</v>
      </c>
      <c r="D23" s="94" t="s">
        <v>39</v>
      </c>
      <c r="E23" s="95"/>
      <c r="F23" s="96">
        <v>45352.0</v>
      </c>
      <c r="G23" s="99">
        <f t="shared" si="4"/>
        <v>45382</v>
      </c>
      <c r="H23" s="100">
        <v>30.0</v>
      </c>
      <c r="I23" s="101">
        <v>0.0</v>
      </c>
      <c r="J23" s="102">
        <f t="shared" si="1"/>
        <v>21</v>
      </c>
      <c r="K23" s="103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5"/>
      <c r="BN23" s="90"/>
    </row>
    <row r="24" ht="12.75" customHeight="1">
      <c r="A24" s="110"/>
      <c r="B24" s="111">
        <v>4.0</v>
      </c>
      <c r="C24" s="112" t="s">
        <v>70</v>
      </c>
      <c r="D24" s="113" t="s">
        <v>39</v>
      </c>
      <c r="E24" s="114"/>
      <c r="F24" s="115">
        <v>45383.0</v>
      </c>
      <c r="G24" s="115">
        <v>45412.0</v>
      </c>
      <c r="H24" s="116"/>
      <c r="I24" s="117"/>
      <c r="J24" s="116">
        <f t="shared" si="1"/>
        <v>22</v>
      </c>
      <c r="K24" s="118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20"/>
      <c r="BN24" s="90"/>
    </row>
    <row r="25" ht="12.75" customHeight="1">
      <c r="A25" s="91"/>
      <c r="B25" s="92">
        <v>4.1</v>
      </c>
      <c r="C25" s="124" t="s">
        <v>72</v>
      </c>
      <c r="D25" s="94" t="s">
        <v>39</v>
      </c>
      <c r="E25" s="95"/>
      <c r="F25" s="96">
        <v>45383.0</v>
      </c>
      <c r="G25" s="99">
        <f t="shared" ref="G25:G27" si="5">IF(ISBLANK(F25)," - ",IF(H25=0,F25,F25+H25))</f>
        <v>45412</v>
      </c>
      <c r="H25" s="100">
        <v>29.0</v>
      </c>
      <c r="I25" s="101">
        <v>0.0</v>
      </c>
      <c r="J25" s="102">
        <f t="shared" si="1"/>
        <v>22</v>
      </c>
      <c r="K25" s="103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5"/>
      <c r="BN25" s="90"/>
    </row>
    <row r="26" ht="12.75" customHeight="1">
      <c r="A26" s="91"/>
      <c r="B26" s="92">
        <v>4.2</v>
      </c>
      <c r="C26" s="126" t="s">
        <v>73</v>
      </c>
      <c r="D26" s="94" t="s">
        <v>39</v>
      </c>
      <c r="E26" s="95"/>
      <c r="F26" s="96">
        <v>45383.0</v>
      </c>
      <c r="G26" s="99">
        <f t="shared" si="5"/>
        <v>45412</v>
      </c>
      <c r="H26" s="100">
        <v>29.0</v>
      </c>
      <c r="I26" s="101">
        <v>0.0</v>
      </c>
      <c r="J26" s="102">
        <f t="shared" si="1"/>
        <v>22</v>
      </c>
      <c r="K26" s="103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5"/>
      <c r="BN26" s="90"/>
    </row>
    <row r="27" ht="12.75" customHeight="1">
      <c r="A27" s="91"/>
      <c r="B27" s="92">
        <v>4.2</v>
      </c>
      <c r="C27" s="126" t="s">
        <v>75</v>
      </c>
      <c r="D27" s="94" t="s">
        <v>39</v>
      </c>
      <c r="E27" s="95"/>
      <c r="F27" s="96">
        <v>45383.0</v>
      </c>
      <c r="G27" s="99">
        <f t="shared" si="5"/>
        <v>45412</v>
      </c>
      <c r="H27" s="100">
        <v>29.0</v>
      </c>
      <c r="I27" s="101">
        <v>0.0</v>
      </c>
      <c r="J27" s="102">
        <f t="shared" si="1"/>
        <v>22</v>
      </c>
      <c r="K27" s="103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5"/>
      <c r="BN27" s="90"/>
    </row>
    <row r="28" ht="12.75" customHeight="1">
      <c r="A28" s="110"/>
      <c r="B28" s="111">
        <v>5.0</v>
      </c>
      <c r="C28" s="112" t="s">
        <v>76</v>
      </c>
      <c r="D28" s="113" t="s">
        <v>39</v>
      </c>
      <c r="E28" s="114"/>
      <c r="F28" s="115">
        <v>45413.0</v>
      </c>
      <c r="G28" s="115">
        <v>45443.0</v>
      </c>
      <c r="H28" s="116"/>
      <c r="I28" s="117"/>
      <c r="J28" s="116">
        <f t="shared" si="1"/>
        <v>23</v>
      </c>
      <c r="K28" s="118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20"/>
      <c r="BN28" s="90"/>
    </row>
    <row r="29" ht="12.75" customHeight="1">
      <c r="A29" s="91"/>
      <c r="B29" s="92">
        <v>5.1</v>
      </c>
      <c r="C29" s="126" t="s">
        <v>80</v>
      </c>
      <c r="D29" s="94" t="s">
        <v>39</v>
      </c>
      <c r="E29" s="95"/>
      <c r="F29" s="96">
        <v>45413.0</v>
      </c>
      <c r="G29" s="99">
        <f>IF(ISBLANK(F29)," - ",IF(H29=0,F29,F29+H29))</f>
        <v>45443</v>
      </c>
      <c r="H29" s="100">
        <v>30.0</v>
      </c>
      <c r="I29" s="101">
        <v>0.0</v>
      </c>
      <c r="J29" s="102">
        <f t="shared" si="1"/>
        <v>23</v>
      </c>
      <c r="K29" s="103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5"/>
      <c r="BN29" s="90"/>
    </row>
    <row r="30" ht="12.75" customHeight="1">
      <c r="A30" s="91"/>
      <c r="B30" s="92">
        <v>5.2</v>
      </c>
      <c r="C30" s="126" t="s">
        <v>81</v>
      </c>
      <c r="D30" s="94" t="s">
        <v>39</v>
      </c>
      <c r="E30" s="95"/>
      <c r="F30" s="96">
        <v>45413.0</v>
      </c>
      <c r="G30" s="99">
        <f>IF(ISBLANK(F30)," - ",IF(H30=0,F30,F30+H30-1))</f>
        <v>45442</v>
      </c>
      <c r="H30" s="100">
        <v>30.0</v>
      </c>
      <c r="I30" s="101">
        <v>0.0</v>
      </c>
      <c r="J30" s="102">
        <f t="shared" si="1"/>
        <v>22</v>
      </c>
      <c r="K30" s="103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5"/>
      <c r="BN30" s="90"/>
    </row>
    <row r="31" ht="12.75" customHeight="1">
      <c r="A31" s="91"/>
      <c r="B31" s="92">
        <v>5.6</v>
      </c>
      <c r="C31" s="121" t="s">
        <v>82</v>
      </c>
      <c r="D31" s="94" t="s">
        <v>39</v>
      </c>
      <c r="E31" s="95"/>
      <c r="F31" s="96">
        <v>45413.0</v>
      </c>
      <c r="G31" s="99">
        <f>IF(ISBLANK(F31)," - ",IF(H31=0,F31,F31+H31))</f>
        <v>45443</v>
      </c>
      <c r="H31" s="100">
        <v>30.0</v>
      </c>
      <c r="I31" s="127">
        <v>0.0</v>
      </c>
      <c r="J31" s="102"/>
      <c r="K31" s="103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5"/>
      <c r="BN31" s="90"/>
    </row>
    <row r="32" ht="12.75" customHeight="1">
      <c r="A32" s="91"/>
      <c r="B32" s="128" t="s">
        <v>84</v>
      </c>
      <c r="C32" s="129" t="s">
        <v>85</v>
      </c>
      <c r="D32" s="130" t="s">
        <v>39</v>
      </c>
      <c r="E32" s="131"/>
      <c r="F32" s="132">
        <v>45413.0</v>
      </c>
      <c r="G32" s="133">
        <f>IF(ISBLANK(F32)," - ",IF(H32=0,F32,F32+H31))</f>
        <v>45443</v>
      </c>
      <c r="H32" s="134">
        <v>30.0</v>
      </c>
      <c r="I32" s="135">
        <v>0.0</v>
      </c>
      <c r="J32" s="136"/>
      <c r="K32" s="137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9"/>
      <c r="BN32" s="90"/>
    </row>
    <row r="33" ht="12.75" customHeight="1">
      <c r="A33" s="90"/>
      <c r="B33" s="140"/>
      <c r="C33" s="141"/>
      <c r="D33" s="141"/>
      <c r="E33" s="142"/>
      <c r="F33" s="143"/>
      <c r="G33" s="143"/>
      <c r="H33" s="144"/>
      <c r="I33" s="145"/>
      <c r="J33" s="144" t="str">
        <f>IF(OR(G33=0,F33=0)," - ",NETWORKDAYS(F33,G33))</f>
        <v> - </v>
      </c>
      <c r="K33" s="146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90"/>
    </row>
  </sheetData>
  <mergeCells count="20">
    <mergeCell ref="AS2:AY2"/>
    <mergeCell ref="AZ2:BF2"/>
    <mergeCell ref="BG2:BM2"/>
    <mergeCell ref="L2:P2"/>
    <mergeCell ref="L3:P3"/>
    <mergeCell ref="D4:F4"/>
    <mergeCell ref="Q3:W3"/>
    <mergeCell ref="X3:AD3"/>
    <mergeCell ref="AE3:AK3"/>
    <mergeCell ref="AL3:AR3"/>
    <mergeCell ref="AS3:AY3"/>
    <mergeCell ref="AZ3:BF3"/>
    <mergeCell ref="BG3:BM3"/>
    <mergeCell ref="D2:F2"/>
    <mergeCell ref="I2:K2"/>
    <mergeCell ref="Q2:W2"/>
    <mergeCell ref="X2:AD2"/>
    <mergeCell ref="AE2:AK2"/>
    <mergeCell ref="AL2:AR2"/>
    <mergeCell ref="D3:F3"/>
  </mergeCells>
  <conditionalFormatting sqref="L4:BN5">
    <cfRule type="expression" dxfId="4" priority="1">
      <formula>L$4=TODAY()</formula>
    </cfRule>
  </conditionalFormatting>
  <conditionalFormatting sqref="L6:BN33">
    <cfRule type="expression" dxfId="5" priority="2">
      <formula>AND($F6&lt;=L$4,ROUNDDOWN(($G6-$F6+1)*$I6,0)+$F6-1&gt;=L$4)</formula>
    </cfRule>
  </conditionalFormatting>
  <conditionalFormatting sqref="L6:BN33">
    <cfRule type="expression" dxfId="6" priority="3">
      <formula>AND(NOT(ISBLANK($F6)),$F6&lt;=L$4,$G6&gt;=L$4)</formula>
    </cfRule>
  </conditionalFormatting>
  <conditionalFormatting sqref="L4:BN33">
    <cfRule type="expression" dxfId="7" priority="4">
      <formula>L$4=TODAY()</formula>
    </cfRule>
  </conditionalFormatting>
  <conditionalFormatting sqref="D2:F2 I2:K2">
    <cfRule type="notContainsBlanks" dxfId="8" priority="5">
      <formula>LEN(TRIM(D2))&gt;0</formula>
    </cfRule>
  </conditionalFormatting>
  <dataValidations>
    <dataValidation type="custom" allowBlank="1" showDropDown="1" sqref="F1:G1 F6:G33">
      <formula1>OR(NOT(ISERROR(DATEVALUE(F1))), AND(ISNUMBER(F1), LEFT(CELL("format", F1))="D"))</formula1>
    </dataValidation>
  </dataValidations>
  <printOptions/>
  <pageMargins bottom="0.5" footer="0.0" header="0.0" left="0.25" right="0.25" top="0.5"/>
  <pageSetup fitToHeight="0" paperSize="3" orientation="landscape"/>
  <drawing r:id="rId2"/>
  <legacyDrawing r:id="rId3"/>
</worksheet>
</file>