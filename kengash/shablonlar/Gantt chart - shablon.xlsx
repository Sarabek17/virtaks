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Chart" sheetId="1" r:id="rId5"/>
  </sheets>
  <definedNames>
    <definedName localSheetId="0" name="prevWBS">GanttChart!$B$1047638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Predecessor Tasks:
You can use this column to enter the WBS of a predecessor for reference. The PRO version uses formulas to automatically calculate the Start Date based on the Predecessor.</t>
      </text>
    </comment>
  </commentList>
</comments>
</file>

<file path=xl/sharedStrings.xml><?xml version="1.0" encoding="utf-8"?>
<sst xmlns="http://schemas.openxmlformats.org/spreadsheetml/2006/main" count="22" uniqueCount="22">
  <si>
    <t>Loyiha boshlanish sanasi</t>
  </si>
  <si>
    <t xml:space="preserve">Boshlanish hafta raqami  </t>
  </si>
  <si>
    <t>Loyihaga javobgar</t>
  </si>
  <si>
    <t>#</t>
  </si>
  <si>
    <t>Vazifa</t>
  </si>
  <si>
    <t>Mas'ul</t>
  </si>
  <si>
    <t>PREDECESSOR</t>
  </si>
  <si>
    <t>Boshlash</t>
  </si>
  <si>
    <t>Tugash</t>
  </si>
  <si>
    <t>Kunlar</t>
  </si>
  <si>
    <t>Bajarilish</t>
  </si>
  <si>
    <t>Ish kunlari</t>
  </si>
  <si>
    <t>O'quv bo'limi</t>
  </si>
  <si>
    <t>1.10.</t>
  </si>
  <si>
    <t>Sotuv bo'limi</t>
  </si>
  <si>
    <t>2.10.</t>
  </si>
  <si>
    <t>Marketing bo'limi</t>
  </si>
  <si>
    <t>3.10.</t>
  </si>
  <si>
    <t>Moliya bo'limi</t>
  </si>
  <si>
    <t>4.10.</t>
  </si>
  <si>
    <t>HR</t>
  </si>
  <si>
    <t>5.10.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</si>
</sst>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&quot;.&quot;mm&quot;.&quot;yyyy"/>
    <numFmt numFmtId="166" formatCode="d\ mmm\ yyyy"/>
    <numFmt numFmtId="167" formatCode="d"/>
  </numFmts>
  <fonts count="16">
    <font>
      <sz val="10.0"/>
      <color rgb="FF000000"/>
      <name val="Arial"/>
      <scheme val="minor"/>
    </font>
    <font>
      <sz val="11.0"/>
      <color theme="1"/>
      <name val="Montserrat"/>
    </font>
    <font>
      <sz val="10.0"/>
      <color theme="1"/>
      <name val="Montserrat"/>
    </font>
    <font>
      <u/>
      <sz val="10.0"/>
      <color rgb="FF0000FF"/>
      <name val="Montserrat"/>
    </font>
    <font>
      <sz val="10.0"/>
      <color rgb="FFFFFFFF"/>
      <name val="Montserrat"/>
    </font>
    <font/>
    <font>
      <sz val="8.0"/>
      <color theme="1"/>
      <name val="Montserrat"/>
    </font>
    <font>
      <b/>
      <sz val="9.0"/>
      <color theme="1"/>
      <name val="Montserrat"/>
    </font>
    <font>
      <b/>
      <sz val="9.0"/>
      <color rgb="FFFFFFFF"/>
      <name val="Montserrat"/>
    </font>
    <font>
      <b/>
      <sz val="8.0"/>
      <color rgb="FFFFFFFF"/>
      <name val="Montserrat"/>
    </font>
    <font>
      <sz val="9.0"/>
      <color theme="1"/>
      <name val="Montserrat"/>
    </font>
    <font>
      <b/>
      <sz val="11.0"/>
      <color theme="1"/>
      <name val="Montserrat"/>
    </font>
    <font>
      <sz val="14.0"/>
      <color theme="1"/>
      <name val="Montserrat"/>
    </font>
    <font>
      <sz val="9.0"/>
      <color rgb="FF000000"/>
      <name val="Montserrat"/>
    </font>
    <font>
      <sz val="14.0"/>
      <color rgb="FF000000"/>
      <name val="Montserrat"/>
    </font>
    <font>
      <i/>
      <sz val="9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D3EBD4"/>
        <bgColor rgb="FFD3EBD4"/>
      </patternFill>
    </fill>
  </fills>
  <borders count="43">
    <border/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thin">
        <color rgb="FFBFBFBF"/>
      </bottom>
    </border>
    <border>
      <left style="medium">
        <color rgb="FFBFBFBF"/>
      </left>
      <top style="medium">
        <color rgb="FF000000"/>
      </top>
    </border>
    <border>
      <right style="medium">
        <color rgb="FFBFBFBF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BFBFBF"/>
      </top>
      <bottom style="thin">
        <color rgb="FFBFBFBF"/>
      </bottom>
    </border>
    <border>
      <left style="medium">
        <color rgb="FFBFBFBF"/>
      </left>
    </border>
    <border>
      <right style="medium">
        <color rgb="FFBFBFBF"/>
      </right>
    </border>
    <border>
      <right style="medium">
        <color rgb="FF000000"/>
      </right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medium">
        <color rgb="FFBFBFBF"/>
      </right>
    </border>
    <border>
      <left style="thin">
        <color rgb="FFBFBFBF"/>
      </left>
      <right style="medium">
        <color rgb="FF000000"/>
      </right>
    </border>
    <border>
      <left style="medium">
        <color rgb="FF000000"/>
      </left>
      <bottom style="medium">
        <color rgb="FFA5A5A5"/>
      </bottom>
    </border>
    <border>
      <bottom style="medium">
        <color rgb="FFA5A5A5"/>
      </bottom>
    </border>
    <border>
      <left style="medium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medium">
        <color rgb="FFBFBFBF"/>
      </right>
      <bottom style="medium">
        <color rgb="FFA5A5A5"/>
      </bottom>
    </border>
    <border>
      <left style="thin">
        <color rgb="FFBFBFBF"/>
      </left>
      <right style="medium">
        <color rgb="FF000000"/>
      </right>
      <bottom style="medium">
        <color rgb="FFA5A5A5"/>
      </bottom>
    </border>
    <border>
      <left style="medium">
        <color rgb="FF000000"/>
      </left>
      <right/>
      <top/>
      <bottom style="thin">
        <color rgb="FFEAEAEA"/>
      </bottom>
    </border>
    <border>
      <left/>
      <right/>
      <top/>
      <bottom style="thin">
        <color rgb="FFEAEAEA"/>
      </bottom>
    </border>
    <border>
      <left/>
      <right style="medium">
        <color rgb="FF000000"/>
      </right>
      <top/>
      <bottom style="thin">
        <color rgb="FFEAEAEA"/>
      </bottom>
    </border>
    <border>
      <left style="medium">
        <color rgb="FF000000"/>
      </left>
      <top style="thin">
        <color rgb="FFEAEAEA"/>
      </top>
      <bottom style="thin">
        <color rgb="FFEAEAEA"/>
      </bottom>
    </border>
    <border>
      <top style="thin">
        <color rgb="FFEAEAEA"/>
      </top>
      <bottom style="thin">
        <color rgb="FFEAEAEA"/>
      </bottom>
    </border>
    <border>
      <top style="thin">
        <color rgb="FFEFEFEF"/>
      </top>
      <bottom style="thin">
        <color rgb="FFEFEFEF"/>
      </bottom>
    </border>
    <border>
      <left/>
      <right/>
      <top style="thin">
        <color rgb="FFEFEFEF"/>
      </top>
      <bottom style="thin">
        <color rgb="FFEFEFEF"/>
      </bottom>
    </border>
    <border>
      <right style="medium">
        <color rgb="FF000000"/>
      </right>
      <top style="thin">
        <color rgb="FFEAEAEA"/>
      </top>
      <bottom style="thin">
        <color rgb="FFEAEAEA"/>
      </bottom>
    </border>
    <border>
      <left/>
      <right/>
    </border>
    <border>
      <left style="medium">
        <color rgb="FF000000"/>
      </left>
      <right/>
      <top style="thin">
        <color rgb="FFEAEAEA"/>
      </top>
      <bottom style="thin">
        <color rgb="FFEAEAEA"/>
      </bottom>
    </border>
    <border>
      <left/>
      <right/>
      <top style="thin">
        <color rgb="FFEAEAEA"/>
      </top>
      <bottom style="thin">
        <color rgb="FFEAEAEA"/>
      </bottom>
    </border>
    <border>
      <left/>
      <right style="medium">
        <color rgb="FF000000"/>
      </right>
      <top style="thin">
        <color rgb="FFEAEAEA"/>
      </top>
      <bottom style="thin">
        <color rgb="FFEAEAEA"/>
      </bottom>
    </border>
    <border>
      <bottom style="thin">
        <color rgb="FFEFEFEF"/>
      </bottom>
    </border>
    <border>
      <left style="medium">
        <color rgb="FF000000"/>
      </left>
      <top style="thin">
        <color rgb="FFEAEAEA"/>
      </top>
      <bottom style="medium">
        <color rgb="FF000000"/>
      </bottom>
    </border>
    <border>
      <top style="thin">
        <color rgb="FFEAEAEA"/>
      </top>
      <bottom style="medium">
        <color rgb="FF000000"/>
      </bottom>
    </border>
    <border>
      <bottom style="medium">
        <color rgb="FF000000"/>
      </bottom>
    </border>
    <border>
      <left/>
      <right/>
      <top style="thin">
        <color rgb="FFEFEFEF"/>
      </top>
      <bottom style="medium">
        <color rgb="FF000000"/>
      </bottom>
    </border>
    <border>
      <top style="thin">
        <color rgb="FFEFEFEF"/>
      </top>
      <bottom style="medium">
        <color rgb="FF000000"/>
      </bottom>
    </border>
    <border>
      <right style="medium">
        <color rgb="FF000000"/>
      </right>
      <top style="thin">
        <color rgb="FFEAEAEA"/>
      </top>
      <bottom style="medium">
        <color rgb="FF000000"/>
      </bottom>
    </border>
    <border>
      <bottom style="thin">
        <color rgb="FFEAEAEA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164" xfId="0" applyFont="1" applyNumberFormat="1"/>
    <xf borderId="0" fillId="2" fontId="2" numFmtId="0" xfId="0" applyFont="1"/>
    <xf borderId="0" fillId="0" fontId="3" numFmtId="0" xfId="0" applyAlignment="1" applyFont="1">
      <alignment horizontal="left"/>
    </xf>
    <xf borderId="1" fillId="2" fontId="2" numFmtId="0" xfId="0" applyBorder="1" applyFont="1"/>
    <xf borderId="2" fillId="3" fontId="4" numFmtId="0" xfId="0" applyBorder="1" applyFill="1" applyFont="1"/>
    <xf borderId="3" fillId="3" fontId="4" numFmtId="0" xfId="0" applyAlignment="1" applyBorder="1" applyFont="1">
      <alignment horizontal="right" readingOrder="0" vertical="center"/>
    </xf>
    <xf borderId="4" fillId="3" fontId="4" numFmtId="165" xfId="0" applyAlignment="1" applyBorder="1" applyFont="1" applyNumberFormat="1">
      <alignment horizontal="center" readingOrder="0" shrinkToFit="1" vertical="center" wrapText="0"/>
    </xf>
    <xf borderId="4" fillId="0" fontId="5" numFmtId="0" xfId="0" applyBorder="1" applyFont="1"/>
    <xf borderId="3" fillId="3" fontId="4" numFmtId="164" xfId="0" applyBorder="1" applyFont="1" applyNumberFormat="1"/>
    <xf borderId="3" fillId="3" fontId="4" numFmtId="0" xfId="0" applyAlignment="1" applyBorder="1" applyFont="1">
      <alignment horizontal="right" vertical="center"/>
    </xf>
    <xf borderId="4" fillId="3" fontId="4" numFmtId="0" xfId="0" applyAlignment="1" applyBorder="1" applyFont="1">
      <alignment horizontal="center" readingOrder="0" shrinkToFit="1" vertical="center" wrapText="0"/>
    </xf>
    <xf borderId="5" fillId="0" fontId="1" numFmtId="0" xfId="0" applyAlignment="1" applyBorder="1" applyFont="1">
      <alignment horizontal="center" vertical="center"/>
    </xf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2" fontId="1" numFmtId="0" xfId="0" applyAlignment="1" applyFont="1">
      <alignment horizontal="center" vertical="center"/>
    </xf>
    <xf borderId="8" fillId="3" fontId="4" numFmtId="0" xfId="0" applyBorder="1" applyFont="1"/>
    <xf borderId="0" fillId="3" fontId="4" numFmtId="0" xfId="0" applyAlignment="1" applyFont="1">
      <alignment horizontal="right" vertical="center"/>
    </xf>
    <xf borderId="9" fillId="3" fontId="4" numFmtId="0" xfId="0" applyAlignment="1" applyBorder="1" applyFont="1">
      <alignment horizontal="center" readingOrder="0" shrinkToFit="1" vertical="center" wrapText="0"/>
    </xf>
    <xf borderId="9" fillId="0" fontId="5" numFmtId="0" xfId="0" applyBorder="1" applyFont="1"/>
    <xf borderId="0" fillId="3" fontId="4" numFmtId="164" xfId="0" applyFont="1" applyNumberFormat="1"/>
    <xf borderId="0" fillId="3" fontId="4" numFmtId="0" xfId="0" applyFont="1"/>
    <xf borderId="10" fillId="0" fontId="2" numFmtId="166" xfId="0" applyAlignment="1" applyBorder="1" applyFont="1" applyNumberForma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0" fillId="2" fontId="2" numFmtId="166" xfId="0" applyAlignment="1" applyFont="1" applyNumberFormat="1">
      <alignment horizontal="center" vertical="center"/>
    </xf>
    <xf borderId="13" fillId="0" fontId="6" numFmtId="167" xfId="0" applyAlignment="1" applyBorder="1" applyFont="1" applyNumberFormat="1">
      <alignment horizontal="center" shrinkToFit="1" vertical="center" wrapText="0"/>
    </xf>
    <xf borderId="14" fillId="0" fontId="6" numFmtId="167" xfId="0" applyAlignment="1" applyBorder="1" applyFont="1" applyNumberFormat="1">
      <alignment horizontal="center" shrinkToFit="1" vertical="center" wrapText="0"/>
    </xf>
    <xf borderId="15" fillId="0" fontId="6" numFmtId="167" xfId="0" applyAlignment="1" applyBorder="1" applyFont="1" applyNumberFormat="1">
      <alignment horizontal="center" shrinkToFit="1" vertical="center" wrapText="0"/>
    </xf>
    <xf borderId="16" fillId="0" fontId="6" numFmtId="167" xfId="0" applyAlignment="1" applyBorder="1" applyFont="1" applyNumberFormat="1">
      <alignment horizontal="center" shrinkToFit="1" vertical="center" wrapText="0"/>
    </xf>
    <xf borderId="0" fillId="2" fontId="6" numFmtId="167" xfId="0" applyAlignment="1" applyFont="1" applyNumberFormat="1">
      <alignment horizontal="center" shrinkToFit="1" vertical="center" wrapText="0"/>
    </xf>
    <xf borderId="0" fillId="2" fontId="7" numFmtId="0" xfId="0" applyAlignment="1" applyFont="1">
      <alignment horizontal="left" readingOrder="0" vertical="center"/>
    </xf>
    <xf borderId="17" fillId="3" fontId="8" numFmtId="0" xfId="0" applyAlignment="1" applyBorder="1" applyFont="1">
      <alignment horizontal="left" readingOrder="0" vertical="center"/>
    </xf>
    <xf borderId="18" fillId="3" fontId="8" numFmtId="0" xfId="0" applyAlignment="1" applyBorder="1" applyFont="1">
      <alignment horizontal="left" readingOrder="0" vertical="center"/>
    </xf>
    <xf borderId="18" fillId="3" fontId="8" numFmtId="0" xfId="0" applyAlignment="1" applyBorder="1" applyFont="1">
      <alignment horizontal="center" readingOrder="0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8" fillId="3" fontId="8" numFmtId="0" xfId="0" applyAlignment="1" applyBorder="1" applyFont="1">
      <alignment horizontal="center" readingOrder="0" vertical="center"/>
    </xf>
    <xf borderId="18" fillId="3" fontId="8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1" vertical="center" wrapText="0"/>
    </xf>
    <xf borderId="20" fillId="0" fontId="10" numFmtId="0" xfId="0" applyAlignment="1" applyBorder="1" applyFont="1">
      <alignment horizontal="center" shrinkToFit="1" vertical="center" wrapText="0"/>
    </xf>
    <xf borderId="21" fillId="0" fontId="10" numFmtId="0" xfId="0" applyAlignment="1" applyBorder="1" applyFont="1">
      <alignment horizontal="center" shrinkToFit="1" vertical="center" wrapText="0"/>
    </xf>
    <xf borderId="22" fillId="0" fontId="10" numFmtId="0" xfId="0" applyAlignment="1" applyBorder="1" applyFont="1">
      <alignment horizontal="center" shrinkToFit="1" vertical="center" wrapText="0"/>
    </xf>
    <xf borderId="0" fillId="2" fontId="10" numFmtId="0" xfId="0" applyAlignment="1" applyFont="1">
      <alignment horizontal="center" shrinkToFit="1" vertical="center" wrapText="0"/>
    </xf>
    <xf borderId="0" fillId="2" fontId="11" numFmtId="0" xfId="0" applyAlignment="1" applyFont="1">
      <alignment horizontal="left" vertical="center"/>
    </xf>
    <xf borderId="23" fillId="4" fontId="11" numFmtId="0" xfId="0" applyAlignment="1" applyBorder="1" applyFill="1" applyFont="1">
      <alignment horizontal="left" vertical="center"/>
    </xf>
    <xf borderId="24" fillId="4" fontId="11" numFmtId="0" xfId="0" applyAlignment="1" applyBorder="1" applyFont="1">
      <alignment readingOrder="0" vertical="center"/>
    </xf>
    <xf borderId="24" fillId="4" fontId="10" numFmtId="0" xfId="0" applyAlignment="1" applyBorder="1" applyFont="1">
      <alignment vertical="center"/>
    </xf>
    <xf borderId="24" fillId="4" fontId="10" numFmtId="0" xfId="0" applyAlignment="1" applyBorder="1" applyFont="1">
      <alignment horizontal="center" vertical="center"/>
    </xf>
    <xf borderId="24" fillId="4" fontId="10" numFmtId="164" xfId="0" applyAlignment="1" applyBorder="1" applyFont="1" applyNumberFormat="1">
      <alignment horizontal="right" vertical="center"/>
    </xf>
    <xf borderId="24" fillId="4" fontId="10" numFmtId="164" xfId="0" applyAlignment="1" applyBorder="1" applyFont="1" applyNumberFormat="1">
      <alignment horizontal="center" vertical="center"/>
    </xf>
    <xf borderId="24" fillId="4" fontId="10" numFmtId="1" xfId="0" applyAlignment="1" applyBorder="1" applyFont="1" applyNumberFormat="1">
      <alignment horizontal="center" vertical="center"/>
    </xf>
    <xf borderId="24" fillId="4" fontId="10" numFmtId="9" xfId="0" applyAlignment="1" applyBorder="1" applyFont="1" applyNumberFormat="1">
      <alignment horizontal="center" vertical="center"/>
    </xf>
    <xf borderId="24" fillId="4" fontId="12" numFmtId="1" xfId="0" applyAlignment="1" applyBorder="1" applyFont="1" applyNumberFormat="1">
      <alignment horizontal="center" vertical="center"/>
    </xf>
    <xf borderId="24" fillId="4" fontId="10" numFmtId="0" xfId="0" applyAlignment="1" applyBorder="1" applyFont="1">
      <alignment horizontal="left" vertical="center"/>
    </xf>
    <xf borderId="25" fillId="4" fontId="10" numFmtId="0" xfId="0" applyAlignment="1" applyBorder="1" applyFont="1">
      <alignment horizontal="left" vertical="center"/>
    </xf>
    <xf borderId="0" fillId="2" fontId="10" numFmtId="0" xfId="0" applyAlignment="1" applyFont="1">
      <alignment horizontal="left" vertical="center"/>
    </xf>
    <xf borderId="0" fillId="2" fontId="10" numFmtId="0" xfId="0" applyAlignment="1" applyFont="1">
      <alignment horizontal="left" readingOrder="0" vertical="center"/>
    </xf>
    <xf borderId="26" fillId="0" fontId="10" numFmtId="0" xfId="0" applyAlignment="1" applyBorder="1" applyFont="1">
      <alignment horizontal="left" readingOrder="0" vertical="center"/>
    </xf>
    <xf borderId="27" fillId="0" fontId="10" numFmtId="0" xfId="0" applyAlignment="1" applyBorder="1" applyFont="1">
      <alignment readingOrder="0" shrinkToFit="0" vertical="center" wrapText="1"/>
    </xf>
    <xf borderId="27" fillId="0" fontId="10" numFmtId="0" xfId="0" applyAlignment="1" applyBorder="1" applyFont="1">
      <alignment readingOrder="0" vertical="center"/>
    </xf>
    <xf borderId="28" fillId="0" fontId="13" numFmtId="0" xfId="0" applyAlignment="1" applyBorder="1" applyFont="1">
      <alignment horizontal="center" vertical="center"/>
    </xf>
    <xf borderId="29" fillId="5" fontId="13" numFmtId="165" xfId="0" applyAlignment="1" applyBorder="1" applyFill="1" applyFont="1" applyNumberFormat="1">
      <alignment horizontal="center" readingOrder="0" vertical="center"/>
    </xf>
    <xf borderId="28" fillId="0" fontId="13" numFmtId="164" xfId="0" applyAlignment="1" applyBorder="1" applyFont="1" applyNumberFormat="1">
      <alignment horizontal="center" vertical="center"/>
    </xf>
    <xf borderId="29" fillId="5" fontId="13" numFmtId="1" xfId="0" applyAlignment="1" applyBorder="1" applyFont="1" applyNumberFormat="1">
      <alignment horizontal="center" readingOrder="0" vertical="center"/>
    </xf>
    <xf borderId="29" fillId="5" fontId="13" numFmtId="9" xfId="0" applyAlignment="1" applyBorder="1" applyFont="1" applyNumberFormat="1">
      <alignment horizontal="center" readingOrder="0" vertical="center"/>
    </xf>
    <xf borderId="28" fillId="0" fontId="13" numFmtId="1" xfId="0" applyAlignment="1" applyBorder="1" applyFont="1" applyNumberFormat="1">
      <alignment horizontal="center" vertical="center"/>
    </xf>
    <xf borderId="28" fillId="0" fontId="14" numFmtId="1" xfId="0" applyAlignment="1" applyBorder="1" applyFont="1" applyNumberFormat="1">
      <alignment horizontal="center" vertical="center"/>
    </xf>
    <xf borderId="27" fillId="0" fontId="10" numFmtId="0" xfId="0" applyAlignment="1" applyBorder="1" applyFont="1">
      <alignment horizontal="left" vertical="center"/>
    </xf>
    <xf borderId="30" fillId="0" fontId="10" numFmtId="0" xfId="0" applyAlignment="1" applyBorder="1" applyFont="1">
      <alignment horizontal="left" vertical="center"/>
    </xf>
    <xf borderId="27" fillId="0" fontId="10" numFmtId="0" xfId="0" applyAlignment="1" applyBorder="1" applyFont="1">
      <alignment shrinkToFit="0" vertical="center" wrapText="1"/>
    </xf>
    <xf borderId="27" fillId="0" fontId="10" numFmtId="0" xfId="0" applyAlignment="1" applyBorder="1" applyFont="1">
      <alignment vertical="center"/>
    </xf>
    <xf borderId="27" fillId="0" fontId="10" numFmtId="9" xfId="0" applyAlignment="1" applyBorder="1" applyFont="1" applyNumberFormat="1">
      <alignment horizontal="left" vertical="center"/>
    </xf>
    <xf borderId="27" fillId="0" fontId="10" numFmtId="0" xfId="0" applyAlignment="1" applyBorder="1" applyFont="1">
      <alignment horizontal="left" readingOrder="0" shrinkToFit="0" vertical="center" wrapText="1"/>
    </xf>
    <xf borderId="29" fillId="5" fontId="13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31" fillId="5" fontId="13" numFmtId="1" xfId="0" applyAlignment="1" applyBorder="1" applyFont="1" applyNumberFormat="1">
      <alignment horizontal="center" readingOrder="0" vertical="center"/>
    </xf>
    <xf borderId="0" fillId="0" fontId="14" numFmtId="1" xfId="0" applyAlignment="1" applyFont="1" applyNumberFormat="1">
      <alignment horizontal="center" vertical="center"/>
    </xf>
    <xf borderId="0" fillId="2" fontId="11" numFmtId="0" xfId="0" applyAlignment="1" applyFont="1">
      <alignment horizontal="left" readingOrder="0" vertical="center"/>
    </xf>
    <xf borderId="32" fillId="4" fontId="11" numFmtId="0" xfId="0" applyAlignment="1" applyBorder="1" applyFont="1">
      <alignment horizontal="left" readingOrder="0" vertical="center"/>
    </xf>
    <xf borderId="33" fillId="4" fontId="11" numFmtId="0" xfId="0" applyAlignment="1" applyBorder="1" applyFont="1">
      <alignment readingOrder="0" vertical="center"/>
    </xf>
    <xf borderId="33" fillId="4" fontId="10" numFmtId="0" xfId="0" applyAlignment="1" applyBorder="1" applyFont="1">
      <alignment vertical="center"/>
    </xf>
    <xf borderId="33" fillId="4" fontId="10" numFmtId="0" xfId="0" applyAlignment="1" applyBorder="1" applyFont="1">
      <alignment horizontal="center" vertical="center"/>
    </xf>
    <xf borderId="33" fillId="4" fontId="10" numFmtId="165" xfId="0" applyAlignment="1" applyBorder="1" applyFont="1" applyNumberFormat="1">
      <alignment horizontal="center" vertical="center"/>
    </xf>
    <xf borderId="33" fillId="4" fontId="10" numFmtId="164" xfId="0" applyAlignment="1" applyBorder="1" applyFont="1" applyNumberFormat="1">
      <alignment horizontal="center" vertical="center"/>
    </xf>
    <xf borderId="33" fillId="4" fontId="10" numFmtId="1" xfId="0" applyAlignment="1" applyBorder="1" applyFont="1" applyNumberFormat="1">
      <alignment horizontal="center" vertical="center"/>
    </xf>
    <xf borderId="33" fillId="4" fontId="10" numFmtId="9" xfId="0" applyAlignment="1" applyBorder="1" applyFont="1" applyNumberFormat="1">
      <alignment horizontal="center" vertical="center"/>
    </xf>
    <xf borderId="33" fillId="4" fontId="12" numFmtId="1" xfId="0" applyAlignment="1" applyBorder="1" applyFont="1" applyNumberFormat="1">
      <alignment horizontal="center" vertical="center"/>
    </xf>
    <xf borderId="33" fillId="4" fontId="10" numFmtId="0" xfId="0" applyAlignment="1" applyBorder="1" applyFont="1">
      <alignment horizontal="left" vertical="center"/>
    </xf>
    <xf borderId="34" fillId="4" fontId="10" numFmtId="0" xfId="0" applyAlignment="1" applyBorder="1" applyFont="1">
      <alignment horizontal="left" vertical="center"/>
    </xf>
    <xf borderId="28" fillId="0" fontId="10" numFmtId="0" xfId="0" applyBorder="1" applyFont="1"/>
    <xf borderId="35" fillId="0" fontId="10" numFmtId="0" xfId="0" applyBorder="1" applyFont="1"/>
    <xf borderId="35" fillId="0" fontId="10" numFmtId="0" xfId="0" applyBorder="1" applyFont="1"/>
    <xf borderId="28" fillId="0" fontId="10" numFmtId="0" xfId="0" applyBorder="1" applyFont="1"/>
    <xf borderId="0" fillId="5" fontId="13" numFmtId="1" xfId="0" applyAlignment="1" applyFont="1" applyNumberFormat="1">
      <alignment horizontal="center" readingOrder="0" vertical="center"/>
    </xf>
    <xf borderId="36" fillId="0" fontId="10" numFmtId="0" xfId="0" applyAlignment="1" applyBorder="1" applyFont="1">
      <alignment horizontal="left" readingOrder="0" vertical="center"/>
    </xf>
    <xf borderId="37" fillId="0" fontId="10" numFmtId="0" xfId="0" applyAlignment="1" applyBorder="1" applyFont="1">
      <alignment readingOrder="0" shrinkToFit="0" vertical="center" wrapText="1"/>
    </xf>
    <xf borderId="37" fillId="0" fontId="10" numFmtId="0" xfId="0" applyAlignment="1" applyBorder="1" applyFont="1">
      <alignment vertical="center"/>
    </xf>
    <xf borderId="38" fillId="0" fontId="13" numFmtId="0" xfId="0" applyAlignment="1" applyBorder="1" applyFont="1">
      <alignment horizontal="center" vertical="center"/>
    </xf>
    <xf borderId="39" fillId="5" fontId="13" numFmtId="165" xfId="0" applyAlignment="1" applyBorder="1" applyFont="1" applyNumberFormat="1">
      <alignment horizontal="center" readingOrder="0" vertical="center"/>
    </xf>
    <xf borderId="40" fillId="0" fontId="13" numFmtId="164" xfId="0" applyAlignment="1" applyBorder="1" applyFont="1" applyNumberFormat="1">
      <alignment horizontal="center" vertical="center"/>
    </xf>
    <xf borderId="38" fillId="5" fontId="13" numFmtId="1" xfId="0" applyAlignment="1" applyBorder="1" applyFont="1" applyNumberFormat="1">
      <alignment horizontal="center" readingOrder="0" vertical="center"/>
    </xf>
    <xf borderId="38" fillId="5" fontId="13" numFmtId="9" xfId="0" applyAlignment="1" applyBorder="1" applyFont="1" applyNumberFormat="1">
      <alignment horizontal="center" readingOrder="0" vertical="center"/>
    </xf>
    <xf borderId="40" fillId="0" fontId="13" numFmtId="1" xfId="0" applyAlignment="1" applyBorder="1" applyFont="1" applyNumberFormat="1">
      <alignment horizontal="center" vertical="center"/>
    </xf>
    <xf borderId="38" fillId="0" fontId="14" numFmtId="1" xfId="0" applyAlignment="1" applyBorder="1" applyFont="1" applyNumberFormat="1">
      <alignment horizontal="center" vertical="center"/>
    </xf>
    <xf borderId="37" fillId="0" fontId="10" numFmtId="0" xfId="0" applyAlignment="1" applyBorder="1" applyFont="1">
      <alignment horizontal="left" vertical="center"/>
    </xf>
    <xf borderId="41" fillId="0" fontId="10" numFmtId="0" xfId="0" applyAlignment="1" applyBorder="1" applyFont="1">
      <alignment horizontal="left" vertical="center"/>
    </xf>
    <xf borderId="42" fillId="0" fontId="10" numFmtId="0" xfId="0" applyAlignment="1" applyBorder="1" applyFont="1">
      <alignment horizontal="left" vertical="center"/>
    </xf>
    <xf borderId="42" fillId="0" fontId="15" numFmtId="0" xfId="0" applyAlignment="1" applyBorder="1" applyFont="1">
      <alignment vertical="center"/>
    </xf>
    <xf borderId="42" fillId="0" fontId="10" numFmtId="0" xfId="0" applyAlignment="1" applyBorder="1" applyFont="1">
      <alignment horizontal="center" vertical="center"/>
    </xf>
    <xf borderId="42" fillId="0" fontId="15" numFmtId="164" xfId="0" applyAlignment="1" applyBorder="1" applyFont="1" applyNumberFormat="1">
      <alignment horizontal="center" vertical="center"/>
    </xf>
    <xf borderId="42" fillId="0" fontId="10" numFmtId="1" xfId="0" applyAlignment="1" applyBorder="1" applyFont="1" applyNumberFormat="1">
      <alignment horizontal="center" vertical="center"/>
    </xf>
    <xf borderId="42" fillId="0" fontId="10" numFmtId="9" xfId="0" applyAlignment="1" applyBorder="1" applyFont="1" applyNumberFormat="1">
      <alignment horizontal="center" vertical="center"/>
    </xf>
    <xf borderId="42" fillId="0" fontId="1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Gantt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5:G6" displayName="Table_1" name="Table_1" id="1">
  <tableColumns count="2">
    <tableColumn name="Column1" id="1"/>
    <tableColumn name="Column2" id="2"/>
  </tableColumns>
  <tableStyleInfo name="Gantt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0"/>
    <col customWidth="1" min="2" max="2" width="5.13"/>
    <col customWidth="1" min="3" max="3" width="26.38"/>
    <col customWidth="1" min="4" max="4" width="10.88"/>
    <col customWidth="1" hidden="1" min="5" max="5" width="6.0"/>
    <col customWidth="1" min="6" max="6" width="10.5"/>
    <col customWidth="1" min="7" max="7" width="13.63"/>
    <col customWidth="1" min="8" max="8" width="9.88"/>
    <col customWidth="1" min="9" max="9" width="5.88"/>
    <col customWidth="1" min="10" max="10" width="5.63"/>
    <col customWidth="1" min="11" max="11" width="1.63"/>
    <col customWidth="1" min="12" max="66" width="2.13"/>
    <col customWidth="1" min="67" max="68" width="2.63"/>
  </cols>
  <sheetData>
    <row r="1" ht="12.75" customHeight="1">
      <c r="A1" s="1"/>
      <c r="B1" s="2"/>
      <c r="C1" s="3"/>
      <c r="D1" s="3"/>
      <c r="E1" s="3"/>
      <c r="F1" s="4"/>
      <c r="G1" s="4"/>
      <c r="H1" s="3"/>
      <c r="I1" s="5"/>
      <c r="J1" s="3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5"/>
    </row>
    <row r="2" ht="12.75" customHeight="1">
      <c r="A2" s="1"/>
      <c r="B2" s="2"/>
      <c r="C2" s="3"/>
      <c r="D2" s="3"/>
      <c r="E2" s="3"/>
      <c r="F2" s="4"/>
      <c r="G2" s="4"/>
      <c r="H2" s="3"/>
      <c r="I2" s="7"/>
      <c r="J2" s="3"/>
      <c r="K2" s="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5"/>
    </row>
    <row r="3" ht="12.75" customHeight="1">
      <c r="A3" s="5"/>
      <c r="B3" s="8"/>
      <c r="C3" s="9" t="s">
        <v>0</v>
      </c>
      <c r="D3" s="10">
        <v>45354.0</v>
      </c>
      <c r="E3" s="11"/>
      <c r="F3" s="11"/>
      <c r="G3" s="12"/>
      <c r="H3" s="13" t="s">
        <v>1</v>
      </c>
      <c r="I3" s="14">
        <v>1.0</v>
      </c>
      <c r="J3" s="11"/>
      <c r="K3" s="11"/>
      <c r="L3" s="15" t="str">
        <f>"Hafta "&amp;(L5-($D$3-WEEKDAY($D$3,1)+2))/7+1</f>
        <v>Hafta 1</v>
      </c>
      <c r="M3" s="16"/>
      <c r="N3" s="16"/>
      <c r="O3" s="16"/>
      <c r="P3" s="16"/>
      <c r="Q3" s="16"/>
      <c r="R3" s="17"/>
      <c r="S3" s="15" t="str">
        <f>"Hafta "&amp;(S5-($D$3-WEEKDAY($D$3,1)+2))/7+1</f>
        <v>Hafta 2</v>
      </c>
      <c r="T3" s="16"/>
      <c r="U3" s="16"/>
      <c r="V3" s="16"/>
      <c r="W3" s="16"/>
      <c r="X3" s="16"/>
      <c r="Y3" s="17"/>
      <c r="Z3" s="15" t="str">
        <f>"Hafta "&amp;(Z5-($D$3-WEEKDAY($D$3,1)+2))/7+1</f>
        <v>Hafta 3</v>
      </c>
      <c r="AA3" s="16"/>
      <c r="AB3" s="16"/>
      <c r="AC3" s="16"/>
      <c r="AD3" s="16"/>
      <c r="AE3" s="16"/>
      <c r="AF3" s="17"/>
      <c r="AG3" s="15" t="str">
        <f>"Hafta "&amp;(AG5-($D$3-WEEKDAY($D$3,1)+2))/7+1</f>
        <v>Hafta 4</v>
      </c>
      <c r="AH3" s="16"/>
      <c r="AI3" s="16"/>
      <c r="AJ3" s="16"/>
      <c r="AK3" s="16"/>
      <c r="AL3" s="16"/>
      <c r="AM3" s="17"/>
      <c r="AN3" s="15" t="str">
        <f>"Hafta "&amp;(AN5-($D$3-WEEKDAY($D$3,1)+2))/7+1</f>
        <v>Hafta 5</v>
      </c>
      <c r="AO3" s="16"/>
      <c r="AP3" s="16"/>
      <c r="AQ3" s="16"/>
      <c r="AR3" s="16"/>
      <c r="AS3" s="16"/>
      <c r="AT3" s="17"/>
      <c r="AU3" s="15" t="str">
        <f>"Hafta "&amp;(AU5-($D$3-WEEKDAY($D$3,1)+2))/7+1</f>
        <v>Hafta 6</v>
      </c>
      <c r="AV3" s="16"/>
      <c r="AW3" s="16"/>
      <c r="AX3" s="16"/>
      <c r="AY3" s="16"/>
      <c r="AZ3" s="16"/>
      <c r="BA3" s="17"/>
      <c r="BB3" s="15" t="str">
        <f>"Hafta "&amp;(BB5-($D$3-WEEKDAY($D$3,1)+2))/7+1</f>
        <v>Hafta 7</v>
      </c>
      <c r="BC3" s="16"/>
      <c r="BD3" s="16"/>
      <c r="BE3" s="16"/>
      <c r="BF3" s="16"/>
      <c r="BG3" s="16"/>
      <c r="BH3" s="17"/>
      <c r="BI3" s="15" t="str">
        <f>"Hafta "&amp;(BI5-($D$3-WEEKDAY($D$3,1)+2))/7+1</f>
        <v>Hafta 8</v>
      </c>
      <c r="BJ3" s="16"/>
      <c r="BK3" s="16"/>
      <c r="BL3" s="16"/>
      <c r="BM3" s="16"/>
      <c r="BN3" s="16"/>
      <c r="BO3" s="18"/>
      <c r="BP3" s="19"/>
    </row>
    <row r="4" ht="17.25" customHeight="1">
      <c r="A4" s="5"/>
      <c r="B4" s="20"/>
      <c r="C4" s="21" t="s">
        <v>2</v>
      </c>
      <c r="D4" s="22"/>
      <c r="E4" s="23"/>
      <c r="F4" s="23"/>
      <c r="G4" s="24"/>
      <c r="H4" s="25"/>
      <c r="I4" s="25"/>
      <c r="J4" s="25"/>
      <c r="K4" s="25"/>
      <c r="L4" s="26">
        <f>L5</f>
        <v>45355</v>
      </c>
      <c r="R4" s="27"/>
      <c r="S4" s="26">
        <f>S5</f>
        <v>45362</v>
      </c>
      <c r="Y4" s="27"/>
      <c r="Z4" s="26">
        <f>Z5</f>
        <v>45369</v>
      </c>
      <c r="AF4" s="27"/>
      <c r="AG4" s="26">
        <f>AG5</f>
        <v>45376</v>
      </c>
      <c r="AM4" s="27"/>
      <c r="AN4" s="26">
        <f>AN5</f>
        <v>45383</v>
      </c>
      <c r="AT4" s="27"/>
      <c r="AU4" s="26">
        <f>AU5</f>
        <v>45390</v>
      </c>
      <c r="BA4" s="27"/>
      <c r="BB4" s="26">
        <f>BB5</f>
        <v>45397</v>
      </c>
      <c r="BH4" s="27"/>
      <c r="BI4" s="26">
        <f>BI5</f>
        <v>45404</v>
      </c>
      <c r="BO4" s="28"/>
      <c r="BP4" s="29"/>
    </row>
    <row r="5" ht="12.75" customHeight="1">
      <c r="A5" s="5"/>
      <c r="B5" s="20"/>
      <c r="C5" s="25"/>
      <c r="D5" s="25"/>
      <c r="E5" s="25"/>
      <c r="F5" s="24"/>
      <c r="G5" s="24"/>
      <c r="H5" s="25"/>
      <c r="I5" s="25"/>
      <c r="J5" s="25"/>
      <c r="K5" s="25"/>
      <c r="L5" s="30">
        <f>$D$3-WEEKDAY(D3,1)+2+7*(I3-1)</f>
        <v>45355</v>
      </c>
      <c r="M5" s="31">
        <f t="shared" ref="M5:BO5" si="1">L5+1</f>
        <v>45356</v>
      </c>
      <c r="N5" s="31">
        <f t="shared" si="1"/>
        <v>45357</v>
      </c>
      <c r="O5" s="31">
        <f t="shared" si="1"/>
        <v>45358</v>
      </c>
      <c r="P5" s="31">
        <f t="shared" si="1"/>
        <v>45359</v>
      </c>
      <c r="Q5" s="31">
        <f t="shared" si="1"/>
        <v>45360</v>
      </c>
      <c r="R5" s="32">
        <f t="shared" si="1"/>
        <v>45361</v>
      </c>
      <c r="S5" s="30">
        <f t="shared" si="1"/>
        <v>45362</v>
      </c>
      <c r="T5" s="31">
        <f t="shared" si="1"/>
        <v>45363</v>
      </c>
      <c r="U5" s="31">
        <f t="shared" si="1"/>
        <v>45364</v>
      </c>
      <c r="V5" s="31">
        <f t="shared" si="1"/>
        <v>45365</v>
      </c>
      <c r="W5" s="31">
        <f t="shared" si="1"/>
        <v>45366</v>
      </c>
      <c r="X5" s="31">
        <f t="shared" si="1"/>
        <v>45367</v>
      </c>
      <c r="Y5" s="32">
        <f t="shared" si="1"/>
        <v>45368</v>
      </c>
      <c r="Z5" s="30">
        <f t="shared" si="1"/>
        <v>45369</v>
      </c>
      <c r="AA5" s="31">
        <f t="shared" si="1"/>
        <v>45370</v>
      </c>
      <c r="AB5" s="31">
        <f t="shared" si="1"/>
        <v>45371</v>
      </c>
      <c r="AC5" s="31">
        <f t="shared" si="1"/>
        <v>45372</v>
      </c>
      <c r="AD5" s="31">
        <f t="shared" si="1"/>
        <v>45373</v>
      </c>
      <c r="AE5" s="31">
        <f t="shared" si="1"/>
        <v>45374</v>
      </c>
      <c r="AF5" s="32">
        <f t="shared" si="1"/>
        <v>45375</v>
      </c>
      <c r="AG5" s="30">
        <f t="shared" si="1"/>
        <v>45376</v>
      </c>
      <c r="AH5" s="31">
        <f t="shared" si="1"/>
        <v>45377</v>
      </c>
      <c r="AI5" s="31">
        <f t="shared" si="1"/>
        <v>45378</v>
      </c>
      <c r="AJ5" s="31">
        <f t="shared" si="1"/>
        <v>45379</v>
      </c>
      <c r="AK5" s="31">
        <f t="shared" si="1"/>
        <v>45380</v>
      </c>
      <c r="AL5" s="31">
        <f t="shared" si="1"/>
        <v>45381</v>
      </c>
      <c r="AM5" s="32">
        <f t="shared" si="1"/>
        <v>45382</v>
      </c>
      <c r="AN5" s="30">
        <f t="shared" si="1"/>
        <v>45383</v>
      </c>
      <c r="AO5" s="31">
        <f t="shared" si="1"/>
        <v>45384</v>
      </c>
      <c r="AP5" s="31">
        <f t="shared" si="1"/>
        <v>45385</v>
      </c>
      <c r="AQ5" s="31">
        <f t="shared" si="1"/>
        <v>45386</v>
      </c>
      <c r="AR5" s="31">
        <f t="shared" si="1"/>
        <v>45387</v>
      </c>
      <c r="AS5" s="31">
        <f t="shared" si="1"/>
        <v>45388</v>
      </c>
      <c r="AT5" s="32">
        <f t="shared" si="1"/>
        <v>45389</v>
      </c>
      <c r="AU5" s="30">
        <f t="shared" si="1"/>
        <v>45390</v>
      </c>
      <c r="AV5" s="31">
        <f t="shared" si="1"/>
        <v>45391</v>
      </c>
      <c r="AW5" s="31">
        <f t="shared" si="1"/>
        <v>45392</v>
      </c>
      <c r="AX5" s="31">
        <f t="shared" si="1"/>
        <v>45393</v>
      </c>
      <c r="AY5" s="31">
        <f t="shared" si="1"/>
        <v>45394</v>
      </c>
      <c r="AZ5" s="31">
        <f t="shared" si="1"/>
        <v>45395</v>
      </c>
      <c r="BA5" s="32">
        <f t="shared" si="1"/>
        <v>45396</v>
      </c>
      <c r="BB5" s="30">
        <f t="shared" si="1"/>
        <v>45397</v>
      </c>
      <c r="BC5" s="31">
        <f t="shared" si="1"/>
        <v>45398</v>
      </c>
      <c r="BD5" s="31">
        <f t="shared" si="1"/>
        <v>45399</v>
      </c>
      <c r="BE5" s="31">
        <f t="shared" si="1"/>
        <v>45400</v>
      </c>
      <c r="BF5" s="31">
        <f t="shared" si="1"/>
        <v>45401</v>
      </c>
      <c r="BG5" s="31">
        <f t="shared" si="1"/>
        <v>45402</v>
      </c>
      <c r="BH5" s="32">
        <f t="shared" si="1"/>
        <v>45403</v>
      </c>
      <c r="BI5" s="30">
        <f t="shared" si="1"/>
        <v>45404</v>
      </c>
      <c r="BJ5" s="31">
        <f t="shared" si="1"/>
        <v>45405</v>
      </c>
      <c r="BK5" s="31">
        <f t="shared" si="1"/>
        <v>45406</v>
      </c>
      <c r="BL5" s="31">
        <f t="shared" si="1"/>
        <v>45407</v>
      </c>
      <c r="BM5" s="31">
        <f t="shared" si="1"/>
        <v>45408</v>
      </c>
      <c r="BN5" s="31">
        <f t="shared" si="1"/>
        <v>45409</v>
      </c>
      <c r="BO5" s="33">
        <f t="shared" si="1"/>
        <v>45410</v>
      </c>
      <c r="BP5" s="34"/>
    </row>
    <row r="6" ht="26.25" customHeight="1">
      <c r="A6" s="35"/>
      <c r="B6" s="36" t="s">
        <v>3</v>
      </c>
      <c r="C6" s="37" t="s">
        <v>4</v>
      </c>
      <c r="D6" s="38" t="s">
        <v>5</v>
      </c>
      <c r="E6" s="39" t="s">
        <v>6</v>
      </c>
      <c r="F6" s="40" t="s">
        <v>7</v>
      </c>
      <c r="G6" s="40" t="s">
        <v>8</v>
      </c>
      <c r="H6" s="38" t="s">
        <v>9</v>
      </c>
      <c r="I6" s="38" t="s">
        <v>10</v>
      </c>
      <c r="J6" s="38" t="s">
        <v>11</v>
      </c>
      <c r="K6" s="41"/>
      <c r="L6" s="42" t="str">
        <f t="shared" ref="L6:BO6" si="2">CHOOSE(WEEKDAY(L5,1),"S","M","T","W","T","F","S")</f>
        <v>M</v>
      </c>
      <c r="M6" s="43" t="str">
        <f t="shared" si="2"/>
        <v>T</v>
      </c>
      <c r="N6" s="43" t="str">
        <f t="shared" si="2"/>
        <v>W</v>
      </c>
      <c r="O6" s="43" t="str">
        <f t="shared" si="2"/>
        <v>T</v>
      </c>
      <c r="P6" s="43" t="str">
        <f t="shared" si="2"/>
        <v>F</v>
      </c>
      <c r="Q6" s="43" t="str">
        <f t="shared" si="2"/>
        <v>S</v>
      </c>
      <c r="R6" s="44" t="str">
        <f t="shared" si="2"/>
        <v>S</v>
      </c>
      <c r="S6" s="42" t="str">
        <f t="shared" si="2"/>
        <v>M</v>
      </c>
      <c r="T6" s="43" t="str">
        <f t="shared" si="2"/>
        <v>T</v>
      </c>
      <c r="U6" s="43" t="str">
        <f t="shared" si="2"/>
        <v>W</v>
      </c>
      <c r="V6" s="43" t="str">
        <f t="shared" si="2"/>
        <v>T</v>
      </c>
      <c r="W6" s="43" t="str">
        <f t="shared" si="2"/>
        <v>F</v>
      </c>
      <c r="X6" s="43" t="str">
        <f t="shared" si="2"/>
        <v>S</v>
      </c>
      <c r="Y6" s="44" t="str">
        <f t="shared" si="2"/>
        <v>S</v>
      </c>
      <c r="Z6" s="42" t="str">
        <f t="shared" si="2"/>
        <v>M</v>
      </c>
      <c r="AA6" s="43" t="str">
        <f t="shared" si="2"/>
        <v>T</v>
      </c>
      <c r="AB6" s="43" t="str">
        <f t="shared" si="2"/>
        <v>W</v>
      </c>
      <c r="AC6" s="43" t="str">
        <f t="shared" si="2"/>
        <v>T</v>
      </c>
      <c r="AD6" s="43" t="str">
        <f t="shared" si="2"/>
        <v>F</v>
      </c>
      <c r="AE6" s="43" t="str">
        <f t="shared" si="2"/>
        <v>S</v>
      </c>
      <c r="AF6" s="44" t="str">
        <f t="shared" si="2"/>
        <v>S</v>
      </c>
      <c r="AG6" s="42" t="str">
        <f t="shared" si="2"/>
        <v>M</v>
      </c>
      <c r="AH6" s="43" t="str">
        <f t="shared" si="2"/>
        <v>T</v>
      </c>
      <c r="AI6" s="43" t="str">
        <f t="shared" si="2"/>
        <v>W</v>
      </c>
      <c r="AJ6" s="43" t="str">
        <f t="shared" si="2"/>
        <v>T</v>
      </c>
      <c r="AK6" s="43" t="str">
        <f t="shared" si="2"/>
        <v>F</v>
      </c>
      <c r="AL6" s="43" t="str">
        <f t="shared" si="2"/>
        <v>S</v>
      </c>
      <c r="AM6" s="44" t="str">
        <f t="shared" si="2"/>
        <v>S</v>
      </c>
      <c r="AN6" s="42" t="str">
        <f t="shared" si="2"/>
        <v>M</v>
      </c>
      <c r="AO6" s="43" t="str">
        <f t="shared" si="2"/>
        <v>T</v>
      </c>
      <c r="AP6" s="43" t="str">
        <f t="shared" si="2"/>
        <v>W</v>
      </c>
      <c r="AQ6" s="43" t="str">
        <f t="shared" si="2"/>
        <v>T</v>
      </c>
      <c r="AR6" s="43" t="str">
        <f t="shared" si="2"/>
        <v>F</v>
      </c>
      <c r="AS6" s="43" t="str">
        <f t="shared" si="2"/>
        <v>S</v>
      </c>
      <c r="AT6" s="44" t="str">
        <f t="shared" si="2"/>
        <v>S</v>
      </c>
      <c r="AU6" s="42" t="str">
        <f t="shared" si="2"/>
        <v>M</v>
      </c>
      <c r="AV6" s="43" t="str">
        <f t="shared" si="2"/>
        <v>T</v>
      </c>
      <c r="AW6" s="43" t="str">
        <f t="shared" si="2"/>
        <v>W</v>
      </c>
      <c r="AX6" s="43" t="str">
        <f t="shared" si="2"/>
        <v>T</v>
      </c>
      <c r="AY6" s="43" t="str">
        <f t="shared" si="2"/>
        <v>F</v>
      </c>
      <c r="AZ6" s="43" t="str">
        <f t="shared" si="2"/>
        <v>S</v>
      </c>
      <c r="BA6" s="44" t="str">
        <f t="shared" si="2"/>
        <v>S</v>
      </c>
      <c r="BB6" s="42" t="str">
        <f t="shared" si="2"/>
        <v>M</v>
      </c>
      <c r="BC6" s="43" t="str">
        <f t="shared" si="2"/>
        <v>T</v>
      </c>
      <c r="BD6" s="43" t="str">
        <f t="shared" si="2"/>
        <v>W</v>
      </c>
      <c r="BE6" s="43" t="str">
        <f t="shared" si="2"/>
        <v>T</v>
      </c>
      <c r="BF6" s="43" t="str">
        <f t="shared" si="2"/>
        <v>F</v>
      </c>
      <c r="BG6" s="43" t="str">
        <f t="shared" si="2"/>
        <v>S</v>
      </c>
      <c r="BH6" s="44" t="str">
        <f t="shared" si="2"/>
        <v>S</v>
      </c>
      <c r="BI6" s="42" t="str">
        <f t="shared" si="2"/>
        <v>M</v>
      </c>
      <c r="BJ6" s="43" t="str">
        <f t="shared" si="2"/>
        <v>T</v>
      </c>
      <c r="BK6" s="43" t="str">
        <f t="shared" si="2"/>
        <v>W</v>
      </c>
      <c r="BL6" s="43" t="str">
        <f t="shared" si="2"/>
        <v>T</v>
      </c>
      <c r="BM6" s="43" t="str">
        <f t="shared" si="2"/>
        <v>F</v>
      </c>
      <c r="BN6" s="43" t="str">
        <f t="shared" si="2"/>
        <v>S</v>
      </c>
      <c r="BO6" s="45" t="str">
        <f t="shared" si="2"/>
        <v>S</v>
      </c>
      <c r="BP6" s="46"/>
    </row>
    <row r="7" ht="12.75" customHeight="1">
      <c r="A7" s="47"/>
      <c r="B7" s="48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C7" s="49" t="s">
        <v>12</v>
      </c>
      <c r="D7" s="50"/>
      <c r="E7" s="51"/>
      <c r="F7" s="52"/>
      <c r="G7" s="53"/>
      <c r="H7" s="54"/>
      <c r="I7" s="55"/>
      <c r="J7" s="54" t="str">
        <f t="shared" ref="J7:J61" si="3">IF(OR(G7=0,F7=0)," - ",NETWORKDAYS(F7,G7))</f>
        <v> - </v>
      </c>
      <c r="K7" s="56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8"/>
      <c r="BP7" s="59"/>
    </row>
    <row r="8" ht="12.75" customHeight="1">
      <c r="A8" s="60"/>
      <c r="B8" s="61">
        <v>1.1</v>
      </c>
      <c r="C8" s="62"/>
      <c r="D8" s="63"/>
      <c r="E8" s="64"/>
      <c r="F8" s="65"/>
      <c r="G8" s="66" t="str">
        <f t="shared" ref="G8:G17" si="4">IF(ISBLANK(F8)," - ",IF(H8=0,F8,F8+H8-1))</f>
        <v> - </v>
      </c>
      <c r="H8" s="67"/>
      <c r="I8" s="68">
        <v>0.0</v>
      </c>
      <c r="J8" s="69" t="str">
        <f t="shared" si="3"/>
        <v> - </v>
      </c>
      <c r="K8" s="70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2"/>
      <c r="BP8" s="59"/>
    </row>
    <row r="9" ht="12.75" customHeight="1">
      <c r="A9" s="60"/>
      <c r="B9" s="61">
        <v>1.2</v>
      </c>
      <c r="C9" s="73"/>
      <c r="D9" s="74"/>
      <c r="E9" s="64"/>
      <c r="F9" s="65"/>
      <c r="G9" s="66" t="str">
        <f t="shared" si="4"/>
        <v> - </v>
      </c>
      <c r="H9" s="67"/>
      <c r="I9" s="68">
        <v>0.0</v>
      </c>
      <c r="J9" s="69" t="str">
        <f t="shared" si="3"/>
        <v> - </v>
      </c>
      <c r="K9" s="70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2"/>
      <c r="BP9" s="59"/>
    </row>
    <row r="10" ht="12.75" customHeight="1">
      <c r="A10" s="60"/>
      <c r="B10" s="61">
        <v>1.3</v>
      </c>
      <c r="C10" s="73"/>
      <c r="D10" s="74"/>
      <c r="E10" s="64"/>
      <c r="F10" s="65"/>
      <c r="G10" s="66" t="str">
        <f t="shared" si="4"/>
        <v> - </v>
      </c>
      <c r="H10" s="67"/>
      <c r="I10" s="68">
        <v>0.0</v>
      </c>
      <c r="J10" s="69" t="str">
        <f t="shared" si="3"/>
        <v> - </v>
      </c>
      <c r="K10" s="70"/>
      <c r="L10" s="71"/>
      <c r="M10" s="71"/>
      <c r="N10" s="75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2"/>
      <c r="BP10" s="59"/>
    </row>
    <row r="11" ht="12.75" customHeight="1">
      <c r="A11" s="60"/>
      <c r="B11" s="61">
        <v>1.4</v>
      </c>
      <c r="C11" s="73"/>
      <c r="D11" s="74"/>
      <c r="E11" s="64"/>
      <c r="F11" s="65"/>
      <c r="G11" s="66" t="str">
        <f t="shared" si="4"/>
        <v> - </v>
      </c>
      <c r="H11" s="67"/>
      <c r="I11" s="68">
        <v>0.0</v>
      </c>
      <c r="J11" s="69" t="str">
        <f t="shared" si="3"/>
        <v> - </v>
      </c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2"/>
      <c r="BP11" s="59"/>
    </row>
    <row r="12" ht="12.75" customHeight="1">
      <c r="A12" s="60"/>
      <c r="B12" s="61">
        <v>1.5</v>
      </c>
      <c r="C12" s="76"/>
      <c r="D12" s="74"/>
      <c r="E12" s="64"/>
      <c r="F12" s="65"/>
      <c r="G12" s="66" t="str">
        <f t="shared" si="4"/>
        <v> - </v>
      </c>
      <c r="H12" s="77"/>
      <c r="I12" s="68">
        <v>0.0</v>
      </c>
      <c r="J12" s="69" t="str">
        <f t="shared" si="3"/>
        <v> - </v>
      </c>
      <c r="K12" s="70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2"/>
      <c r="BP12" s="59"/>
    </row>
    <row r="13" ht="12.75" customHeight="1">
      <c r="A13" s="60"/>
      <c r="B13" s="61">
        <v>1.6</v>
      </c>
      <c r="C13" s="76"/>
      <c r="D13" s="74"/>
      <c r="E13" s="64"/>
      <c r="F13" s="65"/>
      <c r="G13" s="66" t="str">
        <f t="shared" si="4"/>
        <v> - </v>
      </c>
      <c r="H13" s="77"/>
      <c r="I13" s="68">
        <v>0.0</v>
      </c>
      <c r="J13" s="69" t="str">
        <f t="shared" si="3"/>
        <v> - </v>
      </c>
      <c r="K13" s="70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2"/>
      <c r="BP13" s="59"/>
    </row>
    <row r="14" ht="12.75" customHeight="1">
      <c r="A14" s="60"/>
      <c r="B14" s="61">
        <v>1.7</v>
      </c>
      <c r="C14" s="73"/>
      <c r="D14" s="74"/>
      <c r="E14" s="64"/>
      <c r="F14" s="65"/>
      <c r="G14" s="66" t="str">
        <f t="shared" si="4"/>
        <v> - </v>
      </c>
      <c r="H14" s="77"/>
      <c r="I14" s="68">
        <v>0.0</v>
      </c>
      <c r="J14" s="69" t="str">
        <f t="shared" si="3"/>
        <v> - </v>
      </c>
      <c r="K14" s="70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2"/>
      <c r="BP14" s="59"/>
    </row>
    <row r="15" ht="12.75" customHeight="1">
      <c r="A15" s="60"/>
      <c r="B15" s="61">
        <v>1.8</v>
      </c>
      <c r="C15" s="73"/>
      <c r="D15" s="74"/>
      <c r="E15" s="64"/>
      <c r="F15" s="65"/>
      <c r="G15" s="66" t="str">
        <f t="shared" si="4"/>
        <v> - </v>
      </c>
      <c r="H15" s="77"/>
      <c r="I15" s="68">
        <v>0.0</v>
      </c>
      <c r="J15" s="69" t="str">
        <f t="shared" si="3"/>
        <v> - </v>
      </c>
      <c r="K15" s="70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2"/>
      <c r="BP15" s="59"/>
    </row>
    <row r="16" ht="12.75" customHeight="1">
      <c r="A16" s="60"/>
      <c r="B16" s="61">
        <v>1.9</v>
      </c>
      <c r="C16" s="73"/>
      <c r="D16" s="74"/>
      <c r="E16" s="64"/>
      <c r="F16" s="65"/>
      <c r="G16" s="66" t="str">
        <f t="shared" si="4"/>
        <v> - </v>
      </c>
      <c r="H16" s="77"/>
      <c r="I16" s="68">
        <v>0.0</v>
      </c>
      <c r="J16" s="69" t="str">
        <f t="shared" si="3"/>
        <v> - </v>
      </c>
      <c r="K16" s="70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2"/>
      <c r="BP16" s="59"/>
    </row>
    <row r="17" ht="12.75" customHeight="1">
      <c r="A17" s="60"/>
      <c r="B17" s="61" t="s">
        <v>13</v>
      </c>
      <c r="C17" s="73"/>
      <c r="D17" s="74"/>
      <c r="E17" s="78"/>
      <c r="F17" s="65"/>
      <c r="G17" s="66" t="str">
        <f t="shared" si="4"/>
        <v> - </v>
      </c>
      <c r="H17" s="79"/>
      <c r="I17" s="68"/>
      <c r="J17" s="69" t="str">
        <f t="shared" si="3"/>
        <v> - </v>
      </c>
      <c r="K17" s="80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2"/>
      <c r="BP17" s="59"/>
    </row>
    <row r="18" ht="12.75" customHeight="1">
      <c r="A18" s="81"/>
      <c r="B18" s="82">
        <v>2.0</v>
      </c>
      <c r="C18" s="83" t="s">
        <v>14</v>
      </c>
      <c r="D18" s="84"/>
      <c r="E18" s="85"/>
      <c r="F18" s="86"/>
      <c r="G18" s="87"/>
      <c r="H18" s="88"/>
      <c r="I18" s="89"/>
      <c r="J18" s="88" t="str">
        <f t="shared" si="3"/>
        <v> - </v>
      </c>
      <c r="K18" s="90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2"/>
      <c r="BP18" s="59"/>
    </row>
    <row r="19" ht="12.75" customHeight="1">
      <c r="A19" s="60"/>
      <c r="B19" s="61">
        <v>2.1</v>
      </c>
      <c r="C19" s="93"/>
      <c r="D19" s="74"/>
      <c r="E19" s="64"/>
      <c r="F19" s="65"/>
      <c r="G19" s="66" t="str">
        <f t="shared" ref="G19:G22" si="5">IF(ISBLANK(F19)," - ",IF(H19=0,F19,F19+H19-1))</f>
        <v> - </v>
      </c>
      <c r="H19" s="77"/>
      <c r="I19" s="68">
        <v>0.0</v>
      </c>
      <c r="J19" s="69" t="str">
        <f t="shared" si="3"/>
        <v> - </v>
      </c>
      <c r="K19" s="70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2"/>
      <c r="BP19" s="59"/>
    </row>
    <row r="20" ht="12.75" customHeight="1">
      <c r="A20" s="60"/>
      <c r="B20" s="61">
        <v>2.2</v>
      </c>
      <c r="C20" s="94"/>
      <c r="D20" s="74"/>
      <c r="E20" s="64"/>
      <c r="F20" s="65"/>
      <c r="G20" s="66" t="str">
        <f t="shared" si="5"/>
        <v> - </v>
      </c>
      <c r="H20" s="77"/>
      <c r="I20" s="68">
        <v>0.0</v>
      </c>
      <c r="J20" s="69" t="str">
        <f t="shared" si="3"/>
        <v> - </v>
      </c>
      <c r="K20" s="70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2"/>
      <c r="BP20" s="59"/>
    </row>
    <row r="21" ht="12.75" customHeight="1">
      <c r="A21" s="60"/>
      <c r="B21" s="61">
        <v>2.3</v>
      </c>
      <c r="C21" s="95"/>
      <c r="D21" s="74"/>
      <c r="E21" s="64"/>
      <c r="F21" s="65"/>
      <c r="G21" s="66" t="str">
        <f t="shared" si="5"/>
        <v> - </v>
      </c>
      <c r="H21" s="77"/>
      <c r="I21" s="68">
        <v>0.0</v>
      </c>
      <c r="J21" s="69" t="str">
        <f t="shared" si="3"/>
        <v> - </v>
      </c>
      <c r="K21" s="70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2"/>
      <c r="BP21" s="59"/>
    </row>
    <row r="22" ht="12.75" customHeight="1">
      <c r="A22" s="60"/>
      <c r="B22" s="61">
        <v>2.4</v>
      </c>
      <c r="C22" s="94"/>
      <c r="D22" s="74"/>
      <c r="E22" s="64"/>
      <c r="F22" s="65"/>
      <c r="G22" s="66" t="str">
        <f t="shared" si="5"/>
        <v> - </v>
      </c>
      <c r="H22" s="77"/>
      <c r="I22" s="68">
        <v>0.0</v>
      </c>
      <c r="J22" s="69" t="str">
        <f t="shared" si="3"/>
        <v> - </v>
      </c>
      <c r="K22" s="70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2"/>
      <c r="BP22" s="59"/>
    </row>
    <row r="23" ht="12.75" customHeight="1">
      <c r="A23" s="60"/>
      <c r="B23" s="61">
        <v>2.5</v>
      </c>
      <c r="C23" s="95"/>
      <c r="D23" s="74"/>
      <c r="E23" s="64"/>
      <c r="F23" s="65"/>
      <c r="G23" s="66" t="str">
        <f t="shared" ref="G23:G28" si="6">IF(ISBLANK(F23)," - ",IF(H23=0,F23,F23+H23-1))</f>
        <v> - </v>
      </c>
      <c r="H23" s="77"/>
      <c r="I23" s="68">
        <v>0.0</v>
      </c>
      <c r="J23" s="69" t="str">
        <f t="shared" si="3"/>
        <v> - </v>
      </c>
      <c r="K23" s="70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2"/>
      <c r="BP23" s="59"/>
    </row>
    <row r="24" ht="12.75" customHeight="1">
      <c r="A24" s="60"/>
      <c r="B24" s="61">
        <v>2.6</v>
      </c>
      <c r="C24" s="95"/>
      <c r="D24" s="74"/>
      <c r="E24" s="78"/>
      <c r="F24" s="65"/>
      <c r="G24" s="66" t="str">
        <f t="shared" si="6"/>
        <v> - </v>
      </c>
      <c r="H24" s="79"/>
      <c r="I24" s="68">
        <v>0.0</v>
      </c>
      <c r="J24" s="69" t="str">
        <f t="shared" si="3"/>
        <v> - </v>
      </c>
      <c r="K24" s="80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2"/>
      <c r="BP24" s="59"/>
    </row>
    <row r="25" ht="12.75" customHeight="1">
      <c r="A25" s="60"/>
      <c r="B25" s="61">
        <v>2.7</v>
      </c>
      <c r="C25" s="95"/>
      <c r="D25" s="74"/>
      <c r="E25" s="78"/>
      <c r="F25" s="65"/>
      <c r="G25" s="66" t="str">
        <f t="shared" si="6"/>
        <v> - </v>
      </c>
      <c r="H25" s="79"/>
      <c r="I25" s="68">
        <v>0.0</v>
      </c>
      <c r="J25" s="69" t="str">
        <f t="shared" si="3"/>
        <v> - </v>
      </c>
      <c r="K25" s="80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2"/>
      <c r="BP25" s="59"/>
    </row>
    <row r="26" ht="12.75" customHeight="1">
      <c r="A26" s="60"/>
      <c r="B26" s="61">
        <v>2.8</v>
      </c>
      <c r="C26" s="95"/>
      <c r="D26" s="74"/>
      <c r="E26" s="78"/>
      <c r="F26" s="65"/>
      <c r="G26" s="66" t="str">
        <f t="shared" si="6"/>
        <v> - </v>
      </c>
      <c r="H26" s="79"/>
      <c r="I26" s="68">
        <v>0.0</v>
      </c>
      <c r="J26" s="69" t="str">
        <f t="shared" si="3"/>
        <v> - </v>
      </c>
      <c r="K26" s="80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2"/>
      <c r="BP26" s="59"/>
    </row>
    <row r="27" ht="12.75" customHeight="1">
      <c r="A27" s="60"/>
      <c r="B27" s="61">
        <v>2.9</v>
      </c>
      <c r="C27" s="95"/>
      <c r="D27" s="74"/>
      <c r="E27" s="78"/>
      <c r="F27" s="65"/>
      <c r="G27" s="66" t="str">
        <f t="shared" si="6"/>
        <v> - </v>
      </c>
      <c r="H27" s="79"/>
      <c r="I27" s="68">
        <v>0.0</v>
      </c>
      <c r="J27" s="69" t="str">
        <f t="shared" si="3"/>
        <v> - </v>
      </c>
      <c r="K27" s="80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2"/>
      <c r="BP27" s="59"/>
    </row>
    <row r="28" ht="12.75" customHeight="1">
      <c r="A28" s="60"/>
      <c r="B28" s="61" t="s">
        <v>15</v>
      </c>
      <c r="C28" s="95"/>
      <c r="D28" s="74"/>
      <c r="E28" s="78"/>
      <c r="F28" s="65"/>
      <c r="G28" s="66" t="str">
        <f t="shared" si="6"/>
        <v> - </v>
      </c>
      <c r="H28" s="79"/>
      <c r="I28" s="68">
        <v>0.0</v>
      </c>
      <c r="J28" s="69" t="str">
        <f t="shared" si="3"/>
        <v> - </v>
      </c>
      <c r="K28" s="80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2"/>
      <c r="BP28" s="59"/>
    </row>
    <row r="29" ht="12.75" customHeight="1">
      <c r="A29" s="81"/>
      <c r="B29" s="82">
        <v>3.0</v>
      </c>
      <c r="C29" s="83" t="s">
        <v>16</v>
      </c>
      <c r="D29" s="84"/>
      <c r="E29" s="85"/>
      <c r="F29" s="86"/>
      <c r="G29" s="87"/>
      <c r="H29" s="88"/>
      <c r="I29" s="89"/>
      <c r="J29" s="88" t="str">
        <f t="shared" si="3"/>
        <v> - </v>
      </c>
      <c r="K29" s="90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2"/>
      <c r="BP29" s="59"/>
    </row>
    <row r="30" ht="12.75" customHeight="1">
      <c r="A30" s="60"/>
      <c r="B30" s="61">
        <v>3.1</v>
      </c>
      <c r="C30" s="93"/>
      <c r="D30" s="74"/>
      <c r="E30" s="64"/>
      <c r="F30" s="65"/>
      <c r="G30" s="66" t="str">
        <f t="shared" ref="G30:G33" si="7">IF(ISBLANK(F30)," - ",IF(H30=0,F30,F30+H30-1))</f>
        <v> - </v>
      </c>
      <c r="H30" s="77"/>
      <c r="I30" s="68">
        <v>0.0</v>
      </c>
      <c r="J30" s="69" t="str">
        <f t="shared" si="3"/>
        <v> - </v>
      </c>
      <c r="K30" s="70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2"/>
      <c r="BP30" s="59"/>
    </row>
    <row r="31" ht="12.75" customHeight="1">
      <c r="A31" s="60"/>
      <c r="B31" s="61">
        <v>3.2</v>
      </c>
      <c r="C31" s="94"/>
      <c r="D31" s="74"/>
      <c r="E31" s="64"/>
      <c r="F31" s="65"/>
      <c r="G31" s="66" t="str">
        <f t="shared" si="7"/>
        <v> - </v>
      </c>
      <c r="H31" s="77"/>
      <c r="I31" s="68">
        <v>0.0</v>
      </c>
      <c r="J31" s="69" t="str">
        <f t="shared" si="3"/>
        <v> - </v>
      </c>
      <c r="K31" s="70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2"/>
      <c r="BP31" s="59"/>
    </row>
    <row r="32" ht="12.75" customHeight="1">
      <c r="A32" s="60"/>
      <c r="B32" s="61">
        <v>3.3</v>
      </c>
      <c r="C32" s="94"/>
      <c r="D32" s="74"/>
      <c r="E32" s="64"/>
      <c r="F32" s="65"/>
      <c r="G32" s="66" t="str">
        <f t="shared" si="7"/>
        <v> - </v>
      </c>
      <c r="H32" s="77"/>
      <c r="I32" s="68">
        <v>0.0</v>
      </c>
      <c r="J32" s="69" t="str">
        <f t="shared" si="3"/>
        <v> - </v>
      </c>
      <c r="K32" s="70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2"/>
      <c r="BP32" s="59"/>
    </row>
    <row r="33" ht="12.75" customHeight="1">
      <c r="A33" s="60"/>
      <c r="B33" s="61">
        <v>3.4</v>
      </c>
      <c r="C33" s="94"/>
      <c r="D33" s="74"/>
      <c r="E33" s="64"/>
      <c r="F33" s="65"/>
      <c r="G33" s="66" t="str">
        <f t="shared" si="7"/>
        <v> - </v>
      </c>
      <c r="H33" s="77"/>
      <c r="I33" s="68">
        <v>0.0</v>
      </c>
      <c r="J33" s="69" t="str">
        <f t="shared" si="3"/>
        <v> - </v>
      </c>
      <c r="K33" s="70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2"/>
      <c r="BP33" s="59"/>
    </row>
    <row r="34" ht="12.75" customHeight="1">
      <c r="A34" s="60"/>
      <c r="B34" s="61">
        <v>3.5</v>
      </c>
      <c r="C34" s="94"/>
      <c r="D34" s="74"/>
      <c r="E34" s="64"/>
      <c r="F34" s="65"/>
      <c r="G34" s="66" t="str">
        <f t="shared" ref="G34:G39" si="8">IF(ISBLANK(F34)," - ",IF(H34=0,F34,F34+H34-1))</f>
        <v> - </v>
      </c>
      <c r="H34" s="77"/>
      <c r="I34" s="68">
        <v>0.0</v>
      </c>
      <c r="J34" s="69" t="str">
        <f t="shared" si="3"/>
        <v> - </v>
      </c>
      <c r="K34" s="70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2"/>
      <c r="BP34" s="59"/>
    </row>
    <row r="35" ht="12.75" customHeight="1">
      <c r="A35" s="60"/>
      <c r="B35" s="61">
        <v>3.6</v>
      </c>
      <c r="C35" s="94"/>
      <c r="D35" s="74"/>
      <c r="E35" s="78"/>
      <c r="F35" s="65"/>
      <c r="G35" s="66" t="str">
        <f t="shared" si="8"/>
        <v> - </v>
      </c>
      <c r="H35" s="79"/>
      <c r="I35" s="68">
        <v>0.0</v>
      </c>
      <c r="J35" s="69" t="str">
        <f t="shared" si="3"/>
        <v> - </v>
      </c>
      <c r="K35" s="80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2"/>
      <c r="BP35" s="59"/>
    </row>
    <row r="36" ht="12.75" customHeight="1">
      <c r="A36" s="60"/>
      <c r="B36" s="61">
        <v>3.7</v>
      </c>
      <c r="C36" s="94"/>
      <c r="D36" s="74"/>
      <c r="E36" s="78"/>
      <c r="F36" s="65"/>
      <c r="G36" s="66" t="str">
        <f t="shared" si="8"/>
        <v> - </v>
      </c>
      <c r="H36" s="79"/>
      <c r="I36" s="68">
        <v>0.0</v>
      </c>
      <c r="J36" s="69" t="str">
        <f t="shared" si="3"/>
        <v> - </v>
      </c>
      <c r="K36" s="80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2"/>
      <c r="BP36" s="59"/>
    </row>
    <row r="37" ht="12.75" customHeight="1">
      <c r="A37" s="60"/>
      <c r="B37" s="61">
        <v>3.8</v>
      </c>
      <c r="C37" s="94"/>
      <c r="D37" s="74"/>
      <c r="E37" s="78"/>
      <c r="F37" s="65"/>
      <c r="G37" s="66" t="str">
        <f t="shared" si="8"/>
        <v> - </v>
      </c>
      <c r="H37" s="79"/>
      <c r="I37" s="68">
        <v>0.0</v>
      </c>
      <c r="J37" s="69" t="str">
        <f t="shared" si="3"/>
        <v> - </v>
      </c>
      <c r="K37" s="80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2"/>
      <c r="BP37" s="59"/>
    </row>
    <row r="38" ht="12.75" customHeight="1">
      <c r="A38" s="60"/>
      <c r="B38" s="61">
        <v>3.9</v>
      </c>
      <c r="C38" s="94"/>
      <c r="D38" s="74"/>
      <c r="E38" s="78"/>
      <c r="F38" s="65"/>
      <c r="G38" s="66" t="str">
        <f t="shared" si="8"/>
        <v> - </v>
      </c>
      <c r="H38" s="79"/>
      <c r="I38" s="68">
        <v>0.0</v>
      </c>
      <c r="J38" s="69" t="str">
        <f t="shared" si="3"/>
        <v> - </v>
      </c>
      <c r="K38" s="80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2"/>
      <c r="BP38" s="59"/>
    </row>
    <row r="39" ht="12.75" customHeight="1">
      <c r="A39" s="60"/>
      <c r="B39" s="61" t="s">
        <v>17</v>
      </c>
      <c r="C39" s="94"/>
      <c r="D39" s="74"/>
      <c r="E39" s="78"/>
      <c r="F39" s="65"/>
      <c r="G39" s="66" t="str">
        <f t="shared" si="8"/>
        <v> - </v>
      </c>
      <c r="H39" s="79"/>
      <c r="I39" s="68">
        <v>0.0</v>
      </c>
      <c r="J39" s="69" t="str">
        <f t="shared" si="3"/>
        <v> - </v>
      </c>
      <c r="K39" s="80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2"/>
      <c r="BP39" s="59"/>
    </row>
    <row r="40" ht="12.75" customHeight="1">
      <c r="A40" s="81"/>
      <c r="B40" s="82">
        <v>4.0</v>
      </c>
      <c r="C40" s="83" t="s">
        <v>18</v>
      </c>
      <c r="D40" s="84"/>
      <c r="E40" s="85"/>
      <c r="F40" s="86"/>
      <c r="G40" s="87"/>
      <c r="H40" s="88"/>
      <c r="I40" s="89"/>
      <c r="J40" s="88" t="str">
        <f t="shared" si="3"/>
        <v> - </v>
      </c>
      <c r="K40" s="90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2"/>
      <c r="BP40" s="59"/>
    </row>
    <row r="41" ht="12.75" customHeight="1">
      <c r="A41" s="60"/>
      <c r="B41" s="61">
        <v>4.1</v>
      </c>
      <c r="C41" s="93"/>
      <c r="D41" s="74"/>
      <c r="E41" s="64"/>
      <c r="F41" s="65"/>
      <c r="G41" s="66" t="str">
        <f t="shared" ref="G41:G44" si="9">IF(ISBLANK(F41)," - ",IF(H41=0,F41,F41+H41-1))</f>
        <v> - </v>
      </c>
      <c r="H41" s="77"/>
      <c r="I41" s="68">
        <v>0.0</v>
      </c>
      <c r="J41" s="69" t="str">
        <f t="shared" si="3"/>
        <v> - </v>
      </c>
      <c r="K41" s="70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2"/>
      <c r="BP41" s="59"/>
    </row>
    <row r="42" ht="12.75" customHeight="1">
      <c r="A42" s="60"/>
      <c r="B42" s="61">
        <v>4.2</v>
      </c>
      <c r="C42" s="94"/>
      <c r="D42" s="74"/>
      <c r="E42" s="64"/>
      <c r="F42" s="65"/>
      <c r="G42" s="66" t="str">
        <f t="shared" si="9"/>
        <v> - </v>
      </c>
      <c r="H42" s="77"/>
      <c r="I42" s="68">
        <v>0.0</v>
      </c>
      <c r="J42" s="69" t="str">
        <f t="shared" si="3"/>
        <v> - </v>
      </c>
      <c r="K42" s="70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2"/>
      <c r="BP42" s="59"/>
    </row>
    <row r="43" ht="12.75" customHeight="1">
      <c r="A43" s="60"/>
      <c r="B43" s="61">
        <v>4.3</v>
      </c>
      <c r="C43" s="94"/>
      <c r="D43" s="74"/>
      <c r="E43" s="64"/>
      <c r="F43" s="65"/>
      <c r="G43" s="66" t="str">
        <f t="shared" si="9"/>
        <v> - </v>
      </c>
      <c r="H43" s="77"/>
      <c r="I43" s="68">
        <v>0.0</v>
      </c>
      <c r="J43" s="69" t="str">
        <f t="shared" si="3"/>
        <v> - </v>
      </c>
      <c r="K43" s="70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2"/>
      <c r="BP43" s="59"/>
    </row>
    <row r="44" ht="12.75" customHeight="1">
      <c r="A44" s="60"/>
      <c r="B44" s="61">
        <v>4.4</v>
      </c>
      <c r="C44" s="94"/>
      <c r="D44" s="74"/>
      <c r="E44" s="64"/>
      <c r="F44" s="65"/>
      <c r="G44" s="66" t="str">
        <f t="shared" si="9"/>
        <v> - </v>
      </c>
      <c r="H44" s="77"/>
      <c r="I44" s="68">
        <v>0.0</v>
      </c>
      <c r="J44" s="69" t="str">
        <f t="shared" si="3"/>
        <v> - </v>
      </c>
      <c r="K44" s="70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2"/>
      <c r="BP44" s="59"/>
    </row>
    <row r="45" ht="12.75" customHeight="1">
      <c r="A45" s="60"/>
      <c r="B45" s="61">
        <v>4.5</v>
      </c>
      <c r="C45" s="94"/>
      <c r="D45" s="74"/>
      <c r="E45" s="64"/>
      <c r="F45" s="65"/>
      <c r="G45" s="66" t="str">
        <f t="shared" ref="G45:G50" si="10">IF(ISBLANK(F45)," - ",IF(H45=0,F45,F45+H34-1))</f>
        <v> - </v>
      </c>
      <c r="H45" s="77"/>
      <c r="I45" s="68">
        <v>0.0</v>
      </c>
      <c r="J45" s="69" t="str">
        <f t="shared" si="3"/>
        <v> - </v>
      </c>
      <c r="K45" s="70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2"/>
      <c r="BP45" s="59"/>
    </row>
    <row r="46" ht="12.75" customHeight="1">
      <c r="A46" s="60"/>
      <c r="B46" s="61">
        <v>4.6</v>
      </c>
      <c r="C46" s="94"/>
      <c r="D46" s="74"/>
      <c r="E46" s="78"/>
      <c r="F46" s="65"/>
      <c r="G46" s="66" t="str">
        <f t="shared" si="10"/>
        <v> - </v>
      </c>
      <c r="H46" s="79"/>
      <c r="I46" s="68">
        <v>0.0</v>
      </c>
      <c r="J46" s="69" t="str">
        <f t="shared" si="3"/>
        <v> - </v>
      </c>
      <c r="K46" s="80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2"/>
      <c r="BP46" s="59"/>
    </row>
    <row r="47" ht="12.75" customHeight="1">
      <c r="A47" s="60"/>
      <c r="B47" s="61">
        <v>4.7</v>
      </c>
      <c r="C47" s="94"/>
      <c r="D47" s="74"/>
      <c r="E47" s="78"/>
      <c r="F47" s="65"/>
      <c r="G47" s="66" t="str">
        <f t="shared" si="10"/>
        <v> - </v>
      </c>
      <c r="H47" s="79"/>
      <c r="I47" s="68">
        <v>0.0</v>
      </c>
      <c r="J47" s="69" t="str">
        <f t="shared" si="3"/>
        <v> - </v>
      </c>
      <c r="K47" s="80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2"/>
      <c r="BP47" s="59"/>
    </row>
    <row r="48" ht="12.75" customHeight="1">
      <c r="A48" s="60"/>
      <c r="B48" s="61">
        <v>4.8</v>
      </c>
      <c r="C48" s="94"/>
      <c r="D48" s="74"/>
      <c r="E48" s="78"/>
      <c r="F48" s="65"/>
      <c r="G48" s="66" t="str">
        <f t="shared" si="10"/>
        <v> - </v>
      </c>
      <c r="H48" s="79"/>
      <c r="I48" s="68">
        <v>0.0</v>
      </c>
      <c r="J48" s="69" t="str">
        <f t="shared" si="3"/>
        <v> - </v>
      </c>
      <c r="K48" s="80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2"/>
      <c r="BP48" s="59"/>
    </row>
    <row r="49" ht="12.75" customHeight="1">
      <c r="A49" s="60"/>
      <c r="B49" s="61">
        <v>4.9</v>
      </c>
      <c r="C49" s="94"/>
      <c r="D49" s="74"/>
      <c r="E49" s="78"/>
      <c r="F49" s="65"/>
      <c r="G49" s="66" t="str">
        <f t="shared" si="10"/>
        <v> - </v>
      </c>
      <c r="H49" s="79"/>
      <c r="I49" s="68">
        <v>0.0</v>
      </c>
      <c r="J49" s="69" t="str">
        <f t="shared" si="3"/>
        <v> - </v>
      </c>
      <c r="K49" s="80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2"/>
      <c r="BP49" s="59"/>
    </row>
    <row r="50" ht="12.75" customHeight="1">
      <c r="A50" s="60"/>
      <c r="B50" s="61" t="s">
        <v>19</v>
      </c>
      <c r="C50" s="94"/>
      <c r="D50" s="74"/>
      <c r="E50" s="78"/>
      <c r="F50" s="65"/>
      <c r="G50" s="66" t="str">
        <f t="shared" si="10"/>
        <v> - </v>
      </c>
      <c r="H50" s="79"/>
      <c r="I50" s="68">
        <v>0.0</v>
      </c>
      <c r="J50" s="69" t="str">
        <f t="shared" si="3"/>
        <v> - </v>
      </c>
      <c r="K50" s="80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2"/>
      <c r="BP50" s="59"/>
    </row>
    <row r="51" ht="12.75" customHeight="1">
      <c r="A51" s="81"/>
      <c r="B51" s="82">
        <v>5.0</v>
      </c>
      <c r="C51" s="83" t="s">
        <v>20</v>
      </c>
      <c r="D51" s="84"/>
      <c r="E51" s="85"/>
      <c r="F51" s="86"/>
      <c r="G51" s="87"/>
      <c r="H51" s="88"/>
      <c r="I51" s="89"/>
      <c r="J51" s="88" t="str">
        <f t="shared" si="3"/>
        <v> - </v>
      </c>
      <c r="K51" s="90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2"/>
      <c r="BP51" s="59"/>
    </row>
    <row r="52" ht="12.75" customHeight="1">
      <c r="A52" s="60"/>
      <c r="B52" s="61">
        <v>5.1</v>
      </c>
      <c r="C52" s="96"/>
      <c r="D52" s="74"/>
      <c r="E52" s="64"/>
      <c r="F52" s="65"/>
      <c r="G52" s="66" t="str">
        <f t="shared" ref="G52:G55" si="11">IF(ISBLANK(F52)," - ",IF(H52=0,F52,F52+H52-1))</f>
        <v> - </v>
      </c>
      <c r="H52" s="77"/>
      <c r="I52" s="68">
        <v>0.0</v>
      </c>
      <c r="J52" s="69" t="str">
        <f t="shared" si="3"/>
        <v> - </v>
      </c>
      <c r="K52" s="70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2"/>
      <c r="BP52" s="59"/>
    </row>
    <row r="53" ht="12.75" customHeight="1">
      <c r="A53" s="60"/>
      <c r="B53" s="61">
        <v>5.2</v>
      </c>
      <c r="C53" s="94"/>
      <c r="D53" s="74"/>
      <c r="E53" s="64"/>
      <c r="F53" s="65"/>
      <c r="G53" s="66" t="str">
        <f t="shared" si="11"/>
        <v> - </v>
      </c>
      <c r="H53" s="77"/>
      <c r="I53" s="68">
        <v>0.0</v>
      </c>
      <c r="J53" s="69" t="str">
        <f t="shared" si="3"/>
        <v> - </v>
      </c>
      <c r="K53" s="70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2"/>
      <c r="BP53" s="59"/>
    </row>
    <row r="54" ht="12.75" customHeight="1">
      <c r="A54" s="60"/>
      <c r="B54" s="61">
        <v>5.3</v>
      </c>
      <c r="C54" s="94"/>
      <c r="D54" s="74"/>
      <c r="E54" s="64"/>
      <c r="F54" s="65"/>
      <c r="G54" s="66" t="str">
        <f t="shared" si="11"/>
        <v> - </v>
      </c>
      <c r="H54" s="77"/>
      <c r="I54" s="68">
        <v>0.0</v>
      </c>
      <c r="J54" s="69" t="str">
        <f t="shared" si="3"/>
        <v> - </v>
      </c>
      <c r="K54" s="70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2"/>
      <c r="BP54" s="59"/>
    </row>
    <row r="55" ht="12.75" customHeight="1">
      <c r="A55" s="60"/>
      <c r="B55" s="61">
        <v>5.4</v>
      </c>
      <c r="C55" s="94"/>
      <c r="D55" s="74"/>
      <c r="E55" s="64"/>
      <c r="F55" s="65"/>
      <c r="G55" s="66" t="str">
        <f t="shared" si="11"/>
        <v> - </v>
      </c>
      <c r="H55" s="77"/>
      <c r="I55" s="68">
        <v>0.0</v>
      </c>
      <c r="J55" s="69" t="str">
        <f t="shared" si="3"/>
        <v> - </v>
      </c>
      <c r="K55" s="70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2"/>
      <c r="BP55" s="59"/>
    </row>
    <row r="56" ht="12.75" customHeight="1">
      <c r="A56" s="60"/>
      <c r="B56" s="61">
        <v>5.5</v>
      </c>
      <c r="C56" s="94"/>
      <c r="D56" s="74"/>
      <c r="E56" s="64"/>
      <c r="F56" s="65"/>
      <c r="G56" s="66" t="str">
        <f t="shared" ref="G56:G61" si="12">IF(ISBLANK(F56)," - ",IF(H56=0,F56,F56+H56-1))</f>
        <v> - </v>
      </c>
      <c r="H56" s="77"/>
      <c r="I56" s="68">
        <v>0.0</v>
      </c>
      <c r="J56" s="69" t="str">
        <f t="shared" si="3"/>
        <v> - </v>
      </c>
      <c r="K56" s="70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2"/>
      <c r="BP56" s="59"/>
    </row>
    <row r="57" ht="12.75" customHeight="1">
      <c r="A57" s="60"/>
      <c r="B57" s="61">
        <v>5.6</v>
      </c>
      <c r="C57" s="94"/>
      <c r="D57" s="74"/>
      <c r="E57" s="78"/>
      <c r="F57" s="65"/>
      <c r="G57" s="66" t="str">
        <f t="shared" si="12"/>
        <v> - </v>
      </c>
      <c r="H57" s="97"/>
      <c r="I57" s="68">
        <v>0.0</v>
      </c>
      <c r="J57" s="69" t="str">
        <f t="shared" si="3"/>
        <v> - </v>
      </c>
      <c r="K57" s="80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2"/>
      <c r="BP57" s="59"/>
    </row>
    <row r="58" ht="12.75" customHeight="1">
      <c r="A58" s="60"/>
      <c r="B58" s="61">
        <v>5.7</v>
      </c>
      <c r="C58" s="94"/>
      <c r="D58" s="74"/>
      <c r="E58" s="78"/>
      <c r="F58" s="65"/>
      <c r="G58" s="66" t="str">
        <f t="shared" si="12"/>
        <v> - </v>
      </c>
      <c r="H58" s="97"/>
      <c r="I58" s="68">
        <v>0.0</v>
      </c>
      <c r="J58" s="69" t="str">
        <f t="shared" si="3"/>
        <v> - </v>
      </c>
      <c r="K58" s="80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2"/>
      <c r="BP58" s="59"/>
    </row>
    <row r="59" ht="12.75" customHeight="1">
      <c r="A59" s="60"/>
      <c r="B59" s="61">
        <v>5.8</v>
      </c>
      <c r="C59" s="94"/>
      <c r="D59" s="74"/>
      <c r="E59" s="78"/>
      <c r="F59" s="65"/>
      <c r="G59" s="66" t="str">
        <f t="shared" si="12"/>
        <v> - </v>
      </c>
      <c r="H59" s="97"/>
      <c r="I59" s="68">
        <v>0.0</v>
      </c>
      <c r="J59" s="69" t="str">
        <f t="shared" si="3"/>
        <v> - </v>
      </c>
      <c r="K59" s="80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2"/>
      <c r="BP59" s="59"/>
    </row>
    <row r="60" ht="12.75" customHeight="1">
      <c r="A60" s="60"/>
      <c r="B60" s="61">
        <v>5.9</v>
      </c>
      <c r="C60" s="94"/>
      <c r="D60" s="74"/>
      <c r="E60" s="78"/>
      <c r="F60" s="65"/>
      <c r="G60" s="66" t="str">
        <f t="shared" si="12"/>
        <v> - </v>
      </c>
      <c r="H60" s="97"/>
      <c r="I60" s="68">
        <v>0.0</v>
      </c>
      <c r="J60" s="69" t="str">
        <f t="shared" si="3"/>
        <v> - </v>
      </c>
      <c r="K60" s="80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2"/>
      <c r="BP60" s="59"/>
    </row>
    <row r="61" ht="12.75" customHeight="1">
      <c r="A61" s="60"/>
      <c r="B61" s="98" t="s">
        <v>21</v>
      </c>
      <c r="C61" s="99"/>
      <c r="D61" s="100"/>
      <c r="E61" s="101"/>
      <c r="F61" s="102"/>
      <c r="G61" s="103" t="str">
        <f t="shared" si="12"/>
        <v> - </v>
      </c>
      <c r="H61" s="104"/>
      <c r="I61" s="105">
        <v>0.0</v>
      </c>
      <c r="J61" s="106" t="str">
        <f t="shared" si="3"/>
        <v> - </v>
      </c>
      <c r="K61" s="107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9"/>
      <c r="BP61" s="59"/>
    </row>
    <row r="62" ht="12.75" customHeight="1">
      <c r="A62" s="59"/>
      <c r="B62" s="110"/>
      <c r="C62" s="111"/>
      <c r="D62" s="111"/>
      <c r="E62" s="112"/>
      <c r="F62" s="113"/>
      <c r="G62" s="113"/>
      <c r="H62" s="114"/>
      <c r="I62" s="115"/>
      <c r="J62" s="114"/>
      <c r="K62" s="116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59"/>
    </row>
  </sheetData>
  <mergeCells count="19">
    <mergeCell ref="AU3:BA3"/>
    <mergeCell ref="BB3:BH3"/>
    <mergeCell ref="BI3:BO3"/>
    <mergeCell ref="L3:R3"/>
    <mergeCell ref="L4:R4"/>
    <mergeCell ref="S4:Y4"/>
    <mergeCell ref="Z4:AF4"/>
    <mergeCell ref="AG4:AM4"/>
    <mergeCell ref="AN4:AT4"/>
    <mergeCell ref="AU4:BA4"/>
    <mergeCell ref="BB4:BH4"/>
    <mergeCell ref="BI4:BO4"/>
    <mergeCell ref="D3:F3"/>
    <mergeCell ref="I3:K3"/>
    <mergeCell ref="S3:Y3"/>
    <mergeCell ref="Z3:AF3"/>
    <mergeCell ref="AG3:AM3"/>
    <mergeCell ref="AN3:AT3"/>
    <mergeCell ref="D4:F4"/>
  </mergeCells>
  <conditionalFormatting sqref="L5:BP6">
    <cfRule type="expression" dxfId="4" priority="1">
      <formula>L$5=TODAY()</formula>
    </cfRule>
  </conditionalFormatting>
  <conditionalFormatting sqref="L7:BP62">
    <cfRule type="expression" dxfId="5" priority="2">
      <formula>AND($F7&lt;=L$5,ROUNDDOWN(($G7-$F7+1)*$I7,0)+$F7-1&gt;=L$5)</formula>
    </cfRule>
  </conditionalFormatting>
  <conditionalFormatting sqref="L7:BP62">
    <cfRule type="expression" dxfId="6" priority="3">
      <formula>AND(NOT(ISBLANK($F7)),$F7&lt;=L$5,$G7&gt;=L$5)</formula>
    </cfRule>
  </conditionalFormatting>
  <conditionalFormatting sqref="L5:BP62">
    <cfRule type="expression" dxfId="7" priority="4">
      <formula>L$5=TODAY()</formula>
    </cfRule>
  </conditionalFormatting>
  <conditionalFormatting sqref="D3:F3 I3:K3">
    <cfRule type="notContainsBlanks" dxfId="8" priority="5">
      <formula>LEN(TRIM(D3))&gt;0</formula>
    </cfRule>
  </conditionalFormatting>
  <dataValidations>
    <dataValidation type="custom" allowBlank="1" showDropDown="1" sqref="D3 F8:F61">
      <formula1>OR(NOT(ISERROR(DATEVALUE(D3))), AND(ISNUMBER(D3), LEFT(CELL("format", D3))="D"))</formula1>
    </dataValidation>
  </dataValidations>
  <printOptions/>
  <pageMargins bottom="0.5" footer="0.0" header="0.0" left="0.25" right="0.25" top="0.5"/>
  <pageSetup fitToHeight="0" paperSize="3" orientation="landscape"/>
  <drawing r:id="rId2"/>
  <legacyDrawing r:id="rId3"/>
  <tableParts count="1">
    <tablePart r:id="rId5"/>
  </tableParts>
</worksheet>
</file>