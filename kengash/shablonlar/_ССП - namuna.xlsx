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rif" sheetId="1" r:id="rId5"/>
    <sheet state="visible" name="ССП" sheetId="2" r:id="rId6"/>
    <sheet state="visible" name="Metrika" sheetId="3" r:id="rId7"/>
    <sheet state="visible" name="Foiz" sheetId="4" r:id="rId8"/>
    <sheet state="visible" name="Choraklik metrika" sheetId="5" r:id="rId9"/>
    <sheet state="visible" name="Oylik metrika" sheetId="6" r:id="rId10"/>
    <sheet state="visible" name="Haftalik metrika" sheetId="7" r:id="rId11"/>
    <sheet state="visible" name="Kunlik metrika" sheetId="8" r:id="rId12"/>
    <sheet state="hidden" name="Copy of Choraklik metrika" sheetId="9" r:id="rId13"/>
    <sheet state="hidden" name="Copy of Oylik metrika" sheetId="10" r:id="rId14"/>
    <sheet state="hidden" name="Copy of Haftalik metrika" sheetId="11" r:id="rId15"/>
    <sheet state="hidden" name="Copy of Kunlik metrika" sheetId="12" r:id="rId16"/>
    <sheet state="hidden" name="Menu" sheetId="13" r:id="rId17"/>
  </sheets>
  <definedNames/>
  <calcPr/>
</workbook>
</file>

<file path=xl/sharedStrings.xml><?xml version="1.0" encoding="utf-8"?>
<sst xmlns="http://schemas.openxmlformats.org/spreadsheetml/2006/main" count="1278" uniqueCount="254">
  <si>
    <t>CCП</t>
  </si>
  <si>
    <t>Nima?</t>
  </si>
  <si>
    <t xml:space="preserve">CCП - biznesingizni balanslashgan ko'rsatkichlar tizimi.  </t>
  </si>
  <si>
    <t>Nima uchun kerak?</t>
  </si>
  <si>
    <t>Muddatni tanlang →</t>
  </si>
  <si>
    <t>1. Biznesingizni har bir bo'limidagi ishlarni necha foiz muhimlikda ekanligini , har bir bo'limning biznes uchun muhimliligi qanchaligini belgilab berish orqali rejada belgilangan vazifalarni faktda qancha foizi bajarilganligi ko'rib turishingiz mumkin. 
2. Rejaning qancha qismi bajarilganligiga qarab har bir bo'limga jamoaviy va har bir xodimga individual bonuslar belgilanadi . 
3. Qaysidir bo'lim o'z vazifasini yaxshi bajara olmayotgan bo'lsa , o'sha bo'limni muhimlilik darajasini ko'paytirish orqali shu bo'limni ko'rsatkichlarini yaxshilashga erishish mumkin. Xodimlar rejani bajara olishmasa kamroq bonus olishlarini yoki umuman bonus berilmasligini bilib ishga masuliyat bilan yondashishadi.</t>
  </si>
  <si>
    <t>Chorak 2</t>
  </si>
  <si>
    <t>Metrika (ko'rsatkichlar)</t>
  </si>
  <si>
    <t>Agar foydalanilmasa, qanday muammolar yuzaga kelishi mumkin?</t>
  </si>
  <si>
    <t>1. Nima raqamga bog'lanmagan bo'lsa uni yaxshilab bo'lmaydi. 
2. Ishxonada reja bajarilmayotganligini sababini bilolmay barcha bo'limlarga bir xil jazo belgilanadi , o'z ishini reja bo'yicha zo'r bajarib qo'yganlar ham birdek jazolanadi, tabiiyki bunda ularni ishga bo'lgan motivatsiyasi tushib ketadi . 
3. Qaysi bo'limga qancha jamoaviy bonus , qaysi xodimga qancha individual bonus berish kerakligini bilmaysiz , hammaga bir xilda kam bersangiz rejani bajarganlar keyin ishlagisini kelmay qoladi , hammaga bir xilda ko'proq bersangiz rejani bajarmaganlarni dangasaligini , ishga bo'lgan masuliyatsizligini rag'batlantirgan bo'lasiz , keyinchalik  ular sh yana shu tarzda davom etaverishadi.</t>
  </si>
  <si>
    <t>SUM</t>
  </si>
  <si>
    <r>
      <rPr>
        <rFont val="Montserrat"/>
        <b/>
        <color theme="1"/>
        <sz val="11.0"/>
      </rPr>
      <t xml:space="preserve">%
</t>
    </r>
    <r>
      <rPr>
        <rFont val="Montserrat"/>
        <b/>
        <color theme="1"/>
        <sz val="11.0"/>
      </rPr>
      <t>bajarilish</t>
    </r>
  </si>
  <si>
    <t>Muhimligi</t>
  </si>
  <si>
    <t>Foizlari</t>
  </si>
  <si>
    <t>Bo'lim foizlari</t>
  </si>
  <si>
    <t>Bo'lim muhimligi</t>
  </si>
  <si>
    <t>Natija</t>
  </si>
  <si>
    <t>Marketing</t>
  </si>
  <si>
    <t>Ko'rgan odamlar soni</t>
  </si>
  <si>
    <t>Reja</t>
  </si>
  <si>
    <t>3 yillik</t>
  </si>
  <si>
    <t>Choraklik metrika</t>
  </si>
  <si>
    <t>Yil 1</t>
  </si>
  <si>
    <t>Yil 2</t>
  </si>
  <si>
    <t>Yil 3</t>
  </si>
  <si>
    <t>Chorak 1</t>
  </si>
  <si>
    <t>Fakt</t>
  </si>
  <si>
    <t>Chorak 3</t>
  </si>
  <si>
    <t>Chorak 4</t>
  </si>
  <si>
    <t>Chorak 5</t>
  </si>
  <si>
    <t>Chorak 6</t>
  </si>
  <si>
    <t>Chorak 7</t>
  </si>
  <si>
    <t>Chorak 8</t>
  </si>
  <si>
    <t>Chorak 9</t>
  </si>
  <si>
    <t>Chorak 10</t>
  </si>
  <si>
    <t>Chorak 11</t>
  </si>
  <si>
    <t>Chorak 12</t>
  </si>
  <si>
    <t>Umumiy</t>
  </si>
  <si>
    <r>
      <rPr>
        <rFont val="Arial"/>
        <color theme="1"/>
        <sz val="11.0"/>
      </rPr>
      <t xml:space="preserve">%
</t>
    </r>
    <r>
      <rPr>
        <rFont val="Arial"/>
        <color theme="1"/>
        <sz val="11.0"/>
      </rPr>
      <t>bajarilish</t>
    </r>
  </si>
  <si>
    <t>Yillik 1</t>
  </si>
  <si>
    <t>Qiziqqan odamlar soni</t>
  </si>
  <si>
    <t>Yillik 2</t>
  </si>
  <si>
    <t>Tushurilgan yangi lidlar soni</t>
  </si>
  <si>
    <t>Yillik 3</t>
  </si>
  <si>
    <t>Sotuv</t>
  </si>
  <si>
    <t>Yarim yillik 1</t>
  </si>
  <si>
    <t>Qilingan yangi qo'ng'iroqlar soni</t>
  </si>
  <si>
    <t>Yarim yillik 2</t>
  </si>
  <si>
    <t>Yarim yillik 3</t>
  </si>
  <si>
    <t>Yarim yillik 4</t>
  </si>
  <si>
    <t>Yarim yillik 5</t>
  </si>
  <si>
    <t>Yarim yillik 6</t>
  </si>
  <si>
    <t>Probniyga yangi kelganlar soni</t>
  </si>
  <si>
    <t>Qilingan yangi to'lovlar soni</t>
  </si>
  <si>
    <t>Product</t>
  </si>
  <si>
    <t>Konsultatsiya olgan mijozlar soni</t>
  </si>
  <si>
    <t>Oy 1</t>
  </si>
  <si>
    <t>Oy 2</t>
  </si>
  <si>
    <t>Oy 3</t>
  </si>
  <si>
    <t>Oy 4</t>
  </si>
  <si>
    <t>O'qiyotgan yangi o'quvchilar soni</t>
  </si>
  <si>
    <t>Oy 5</t>
  </si>
  <si>
    <t>Oy 6</t>
  </si>
  <si>
    <t>Oy 7</t>
  </si>
  <si>
    <t>Oy 8</t>
  </si>
  <si>
    <t>Oy 9</t>
  </si>
  <si>
    <t>Oy 10</t>
  </si>
  <si>
    <t>Oy 11</t>
  </si>
  <si>
    <t>Oy 12</t>
  </si>
  <si>
    <t>Oy 13</t>
  </si>
  <si>
    <t>Oy 14</t>
  </si>
  <si>
    <t>Oy 15</t>
  </si>
  <si>
    <t>Oy 16</t>
  </si>
  <si>
    <t>Oy 17</t>
  </si>
  <si>
    <t>Sarafan orqali kelgan mijozlar soni</t>
  </si>
  <si>
    <t>Oy 18</t>
  </si>
  <si>
    <t>Oy 19</t>
  </si>
  <si>
    <t>Oy 20</t>
  </si>
  <si>
    <t>Oy 21</t>
  </si>
  <si>
    <t>Oy 22</t>
  </si>
  <si>
    <t>Oy 23</t>
  </si>
  <si>
    <t>Oy 24</t>
  </si>
  <si>
    <t>Oy 25</t>
  </si>
  <si>
    <t>Oy 26</t>
  </si>
  <si>
    <t>Oy 27</t>
  </si>
  <si>
    <t>Oy 28</t>
  </si>
  <si>
    <t>Oy 29</t>
  </si>
  <si>
    <t>Oy 30</t>
  </si>
  <si>
    <t>O'qiyotgan umumiy o'quvchilar soni</t>
  </si>
  <si>
    <t>Oy 31</t>
  </si>
  <si>
    <t>Oy 32</t>
  </si>
  <si>
    <t>Oy 33</t>
  </si>
  <si>
    <t>Oy 34</t>
  </si>
  <si>
    <t>Oy 35</t>
  </si>
  <si>
    <t>Oy 36</t>
  </si>
  <si>
    <t>Hafta 1</t>
  </si>
  <si>
    <t>Hafta 2</t>
  </si>
  <si>
    <t>Hafta 3</t>
  </si>
  <si>
    <t>Hafta 4</t>
  </si>
  <si>
    <t>Hafta 5</t>
  </si>
  <si>
    <t>Hafta 6</t>
  </si>
  <si>
    <t>Moliya</t>
  </si>
  <si>
    <t>Hafta 7</t>
  </si>
  <si>
    <t>Hafta 8</t>
  </si>
  <si>
    <t>Hafta 9</t>
  </si>
  <si>
    <t>Hafta 10</t>
  </si>
  <si>
    <t>Hafta 11</t>
  </si>
  <si>
    <t>Hafta 12</t>
  </si>
  <si>
    <t>Hafta 13</t>
  </si>
  <si>
    <t>Daromadlar</t>
  </si>
  <si>
    <t>Hafta 14</t>
  </si>
  <si>
    <t>Hafta 15</t>
  </si>
  <si>
    <t>Hafta 16</t>
  </si>
  <si>
    <t>Hafta 17</t>
  </si>
  <si>
    <t>Hafta 18</t>
  </si>
  <si>
    <t>Hafta 19</t>
  </si>
  <si>
    <t>Hafta 20</t>
  </si>
  <si>
    <t>Hafta 21</t>
  </si>
  <si>
    <t>Hafta 22</t>
  </si>
  <si>
    <t>Hafta 23</t>
  </si>
  <si>
    <t>Hafta 24</t>
  </si>
  <si>
    <t>Hafta 25</t>
  </si>
  <si>
    <t>Hafta 26</t>
  </si>
  <si>
    <t>Hafta 27</t>
  </si>
  <si>
    <t>Hafta 28</t>
  </si>
  <si>
    <t>Hafta 29</t>
  </si>
  <si>
    <t>Hafta 30</t>
  </si>
  <si>
    <t>Hafta 31</t>
  </si>
  <si>
    <t>Hafta 32</t>
  </si>
  <si>
    <t>Hafta 33</t>
  </si>
  <si>
    <t>Hafta 34</t>
  </si>
  <si>
    <t>Hafta 35</t>
  </si>
  <si>
    <t>Hafta 36</t>
  </si>
  <si>
    <t>Hafta 37</t>
  </si>
  <si>
    <t>Hafta 38</t>
  </si>
  <si>
    <t>Hafta 39</t>
  </si>
  <si>
    <t>Hafta 40</t>
  </si>
  <si>
    <t>Hafta 41</t>
  </si>
  <si>
    <t>Hafta 42</t>
  </si>
  <si>
    <t>Hafta 43</t>
  </si>
  <si>
    <t>Hafta 44</t>
  </si>
  <si>
    <t>Hafta 45</t>
  </si>
  <si>
    <t>Hafta 46</t>
  </si>
  <si>
    <t>Hafta 47</t>
  </si>
  <si>
    <t>Hafta 48</t>
  </si>
  <si>
    <t>Xarajatlar</t>
  </si>
  <si>
    <t>Hafta 49</t>
  </si>
  <si>
    <t>Hafta 50</t>
  </si>
  <si>
    <t>Hafta 51</t>
  </si>
  <si>
    <t>Hafta 52</t>
  </si>
  <si>
    <t>Hafta 53</t>
  </si>
  <si>
    <t>Hafta 54</t>
  </si>
  <si>
    <t>Hafta 55</t>
  </si>
  <si>
    <t>Hafta 56</t>
  </si>
  <si>
    <t>Hafta 57</t>
  </si>
  <si>
    <t>Hafta 58</t>
  </si>
  <si>
    <t>Hafta 59</t>
  </si>
  <si>
    <t>Hafta 60</t>
  </si>
  <si>
    <t>Hafta 61</t>
  </si>
  <si>
    <t>Hafta 62</t>
  </si>
  <si>
    <t>Hafta 63</t>
  </si>
  <si>
    <t>Hafta 64</t>
  </si>
  <si>
    <t>Hafta 65</t>
  </si>
  <si>
    <t>Hafta 66</t>
  </si>
  <si>
    <t>Hafta 67</t>
  </si>
  <si>
    <t>Hafta 68</t>
  </si>
  <si>
    <t>Foyda tushumi</t>
  </si>
  <si>
    <t>Hafta 69</t>
  </si>
  <si>
    <t>Hafta 70</t>
  </si>
  <si>
    <t>Hafta 71</t>
  </si>
  <si>
    <t>Hafta 72</t>
  </si>
  <si>
    <t>Hafta 73</t>
  </si>
  <si>
    <t>Hafta 74</t>
  </si>
  <si>
    <t>Hafta 75</t>
  </si>
  <si>
    <t>Hafta 76</t>
  </si>
  <si>
    <t>Hafta 77</t>
  </si>
  <si>
    <t>Hafta 78</t>
  </si>
  <si>
    <t>Hafta 79</t>
  </si>
  <si>
    <t>Hafta 80</t>
  </si>
  <si>
    <t>Hafta 81</t>
  </si>
  <si>
    <t>Hafta 82</t>
  </si>
  <si>
    <t>Hafta 83</t>
  </si>
  <si>
    <t>Hafta 84</t>
  </si>
  <si>
    <t>Hafta 85</t>
  </si>
  <si>
    <t>Hafta 86</t>
  </si>
  <si>
    <t>Hafta 87</t>
  </si>
  <si>
    <t>Hafta 88</t>
  </si>
  <si>
    <t>Hafta 89</t>
  </si>
  <si>
    <t>Hafta 90</t>
  </si>
  <si>
    <t>Hafta 91</t>
  </si>
  <si>
    <t>Hafta 92</t>
  </si>
  <si>
    <t>Hafta 93</t>
  </si>
  <si>
    <t>Hafta 94</t>
  </si>
  <si>
    <t>Hafta 95</t>
  </si>
  <si>
    <t>Hafta 96</t>
  </si>
  <si>
    <t>Hafta 97</t>
  </si>
  <si>
    <t>Hafta 98</t>
  </si>
  <si>
    <t>Hafta 99</t>
  </si>
  <si>
    <t>Hafta 100</t>
  </si>
  <si>
    <t>Hafta 101</t>
  </si>
  <si>
    <t>Hafta 102</t>
  </si>
  <si>
    <t>Hafta 103</t>
  </si>
  <si>
    <t>Hafta 104</t>
  </si>
  <si>
    <t>Hafta 105</t>
  </si>
  <si>
    <t>Hafta 106</t>
  </si>
  <si>
    <t>Hafta 107</t>
  </si>
  <si>
    <t>Hafta 108</t>
  </si>
  <si>
    <t>Hafta 109</t>
  </si>
  <si>
    <t>Hafta 110</t>
  </si>
  <si>
    <t>Hafta 111</t>
  </si>
  <si>
    <t>Hafta 112</t>
  </si>
  <si>
    <t>Hafta 113</t>
  </si>
  <si>
    <t>Hafta 114</t>
  </si>
  <si>
    <t>Hafta 115</t>
  </si>
  <si>
    <t>Hafta 116</t>
  </si>
  <si>
    <t>Hafta 117</t>
  </si>
  <si>
    <t>Hafta 118</t>
  </si>
  <si>
    <t>Hafta 119</t>
  </si>
  <si>
    <t>Hafta 120</t>
  </si>
  <si>
    <t>Hafta 121</t>
  </si>
  <si>
    <t>Hafta 122</t>
  </si>
  <si>
    <t>Hafta 123</t>
  </si>
  <si>
    <t>Hafta 124</t>
  </si>
  <si>
    <t>Hafta 125</t>
  </si>
  <si>
    <t>Hafta 126</t>
  </si>
  <si>
    <t>Hafta 127</t>
  </si>
  <si>
    <t>Hafta 128</t>
  </si>
  <si>
    <t>Hafta 129</t>
  </si>
  <si>
    <t>Hafta 130</t>
  </si>
  <si>
    <t>Hafta 131</t>
  </si>
  <si>
    <t>Hafta 132</t>
  </si>
  <si>
    <t>Hafta 133</t>
  </si>
  <si>
    <t>Hafta 134</t>
  </si>
  <si>
    <t>Hafta 135</t>
  </si>
  <si>
    <t>Hafta 136</t>
  </si>
  <si>
    <t>Hafta 137</t>
  </si>
  <si>
    <t>Hafta 138</t>
  </si>
  <si>
    <t>Hafta 139</t>
  </si>
  <si>
    <t>Hafta 140</t>
  </si>
  <si>
    <t>Hafta 141</t>
  </si>
  <si>
    <t>Hafta 142</t>
  </si>
  <si>
    <t>Hafta 143</t>
  </si>
  <si>
    <t>Hafta 144</t>
  </si>
  <si>
    <t>Oylik metrika</t>
  </si>
  <si>
    <r>
      <rPr>
        <rFont val="Arial"/>
        <color theme="1"/>
        <sz val="11.0"/>
      </rPr>
      <t xml:space="preserve">%
</t>
    </r>
    <r>
      <rPr>
        <rFont val="Arial"/>
        <color theme="1"/>
        <sz val="11.0"/>
      </rPr>
      <t>bajarilish</t>
    </r>
  </si>
  <si>
    <t>Haftalik metrika</t>
  </si>
  <si>
    <r>
      <rPr>
        <rFont val="Arial"/>
        <color theme="1"/>
        <sz val="11.0"/>
      </rPr>
      <t xml:space="preserve">%
</t>
    </r>
    <r>
      <rPr>
        <rFont val="Arial"/>
        <color theme="1"/>
        <sz val="11.0"/>
      </rPr>
      <t>bajarilish</t>
    </r>
  </si>
  <si>
    <t>Kunlik metrika</t>
  </si>
  <si>
    <t>%
bajarilish</t>
  </si>
  <si>
    <r>
      <rPr>
        <rFont val="Arial"/>
        <color theme="1"/>
        <sz val="11.0"/>
      </rPr>
      <t xml:space="preserve">%
</t>
    </r>
    <r>
      <rPr>
        <rFont val="Arial"/>
        <color theme="1"/>
        <sz val="11.0"/>
      </rPr>
      <t>bajarilish</t>
    </r>
  </si>
  <si>
    <t>Sinov darsga kelgan o'quvchilar soni</t>
  </si>
  <si>
    <t>O'qiyotgan o'quvchilar soni</t>
  </si>
  <si>
    <r>
      <rPr>
        <rFont val="Arial"/>
        <color theme="1"/>
        <sz val="11.0"/>
      </rPr>
      <t xml:space="preserve">%
</t>
    </r>
    <r>
      <rPr>
        <rFont val="Arial"/>
        <color theme="1"/>
        <sz val="11.0"/>
      </rPr>
      <t>bajarilish</t>
    </r>
  </si>
  <si>
    <r>
      <rPr>
        <rFont val="Arial"/>
        <color theme="1"/>
        <sz val="11.0"/>
      </rPr>
      <t xml:space="preserve">%
</t>
    </r>
    <r>
      <rPr>
        <rFont val="Arial"/>
        <color theme="1"/>
        <sz val="11.0"/>
      </rPr>
      <t>bajarilish</t>
    </r>
  </si>
</sst>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quot;-&quot;mmmm"/>
    <numFmt numFmtId="165" formatCode="d"/>
    <numFmt numFmtId="166" formatCode="#\ ###.0"/>
    <numFmt numFmtId="167" formatCode="#\ ###"/>
  </numFmts>
  <fonts count="16">
    <font>
      <sz val="10.0"/>
      <color rgb="FF000000"/>
      <name val="Arial"/>
      <scheme val="minor"/>
    </font>
    <font>
      <color theme="1"/>
      <name val="Montserrat"/>
    </font>
    <font>
      <b/>
      <sz val="12.0"/>
      <color rgb="FFFFFFFF"/>
      <name val="Montserrat"/>
    </font>
    <font/>
    <font>
      <sz val="11.0"/>
      <color theme="1"/>
      <name val="Montserrat"/>
    </font>
    <font>
      <b/>
      <color theme="1"/>
      <name val="Montserrat"/>
    </font>
    <font>
      <sz val="11.0"/>
      <color theme="1"/>
      <name val="Arial"/>
      <scheme val="minor"/>
    </font>
    <font>
      <b/>
      <color rgb="FFFFFFFF"/>
      <name val="Montserrat"/>
    </font>
    <font>
      <b/>
      <color rgb="FF4285F4"/>
      <name val="Montserrat"/>
    </font>
    <font>
      <b/>
      <sz val="11.0"/>
      <color theme="1"/>
      <name val="Montserrat"/>
    </font>
    <font>
      <color theme="1"/>
      <name val="Arial"/>
      <scheme val="minor"/>
    </font>
    <font>
      <b/>
      <sz val="11.0"/>
      <color theme="1"/>
      <name val="Arial"/>
      <scheme val="minor"/>
    </font>
    <font>
      <color rgb="FFFFFFFF"/>
      <name val="Arial"/>
      <scheme val="minor"/>
    </font>
    <font>
      <color theme="1"/>
      <name val="Calibri"/>
    </font>
    <font>
      <b/>
      <sz val="11.0"/>
      <color theme="1"/>
      <name val="Calibri"/>
    </font>
    <font>
      <sz val="11.0"/>
      <color theme="1"/>
      <name val="Calibri"/>
    </font>
  </fonts>
  <fills count="15">
    <fill>
      <patternFill patternType="none"/>
    </fill>
    <fill>
      <patternFill patternType="lightGray"/>
    </fill>
    <fill>
      <patternFill patternType="solid">
        <fgColor rgb="FF0000FF"/>
        <bgColor rgb="FF0000FF"/>
      </patternFill>
    </fill>
    <fill>
      <patternFill patternType="solid">
        <fgColor rgb="FFFFFFFF"/>
        <bgColor rgb="FFFFFFFF"/>
      </patternFill>
    </fill>
    <fill>
      <patternFill patternType="solid">
        <fgColor theme="4"/>
        <bgColor theme="4"/>
      </patternFill>
    </fill>
    <fill>
      <patternFill patternType="solid">
        <fgColor rgb="FFD9E2F3"/>
        <bgColor rgb="FFD9E2F3"/>
      </patternFill>
    </fill>
    <fill>
      <patternFill patternType="solid">
        <fgColor rgb="FF9FC5E8"/>
        <bgColor rgb="FF9FC5E8"/>
      </patternFill>
    </fill>
    <fill>
      <patternFill patternType="solid">
        <fgColor rgb="FFB6D7A8"/>
        <bgColor rgb="FFB6D7A8"/>
      </patternFill>
    </fill>
    <fill>
      <patternFill patternType="solid">
        <fgColor rgb="FFEA9999"/>
        <bgColor rgb="FFEA9999"/>
      </patternFill>
    </fill>
    <fill>
      <patternFill patternType="solid">
        <fgColor rgb="FFFFD966"/>
        <bgColor rgb="FFFFD966"/>
      </patternFill>
    </fill>
    <fill>
      <patternFill patternType="solid">
        <fgColor rgb="FFCFE2F3"/>
        <bgColor rgb="FFCFE2F3"/>
      </patternFill>
    </fill>
    <fill>
      <patternFill patternType="solid">
        <fgColor rgb="FFF9CB9C"/>
        <bgColor rgb="FFF9CB9C"/>
      </patternFill>
    </fill>
    <fill>
      <patternFill patternType="solid">
        <fgColor rgb="FFFFE599"/>
        <bgColor rgb="FFFFE599"/>
      </patternFill>
    </fill>
    <fill>
      <patternFill patternType="solid">
        <fgColor rgb="FFB4A7D6"/>
        <bgColor rgb="FFB4A7D6"/>
      </patternFill>
    </fill>
    <fill>
      <patternFill patternType="solid">
        <fgColor rgb="FFCCCCCC"/>
        <bgColor rgb="FFCCCCCC"/>
      </patternFill>
    </fill>
  </fills>
  <borders count="58">
    <border/>
    <border>
      <left style="medium">
        <color rgb="FF0000FF"/>
      </left>
      <top style="medium">
        <color rgb="FF0000FF"/>
      </top>
      <bottom style="thin">
        <color rgb="FF0000FF"/>
      </bottom>
    </border>
    <border>
      <top style="medium">
        <color rgb="FF0000FF"/>
      </top>
      <bottom style="thin">
        <color rgb="FF0000FF"/>
      </bottom>
    </border>
    <border>
      <right style="medium">
        <color rgb="FF0000FF"/>
      </right>
      <top style="medium">
        <color rgb="FF0000FF"/>
      </top>
      <bottom style="thin">
        <color rgb="FF0000FF"/>
      </bottom>
    </border>
    <border>
      <left style="medium">
        <color rgb="FF0000FF"/>
      </left>
      <top style="thin">
        <color rgb="FF0000FF"/>
      </top>
      <bottom style="thin">
        <color rgb="FF0000FF"/>
      </bottom>
    </border>
    <border>
      <right style="thin">
        <color rgb="FF0000FF"/>
      </right>
      <top style="thin">
        <color rgb="FF0000FF"/>
      </top>
      <bottom style="thin">
        <color rgb="FF0000FF"/>
      </bottom>
    </border>
    <border>
      <left style="thin">
        <color rgb="FF0000FF"/>
      </left>
      <top style="thin">
        <color rgb="FF0000FF"/>
      </top>
      <bottom style="thin">
        <color rgb="FF0000FF"/>
      </bottom>
    </border>
    <border>
      <top style="thin">
        <color rgb="FF0000FF"/>
      </top>
      <bottom style="thin">
        <color rgb="FF0000FF"/>
      </bottom>
    </border>
    <border>
      <right style="medium">
        <color rgb="FF0000FF"/>
      </right>
      <top style="thin">
        <color rgb="FF0000FF"/>
      </top>
      <bottom style="thin">
        <color rgb="FF0000FF"/>
      </bottom>
    </border>
    <border>
      <bottom style="thin">
        <color rgb="FF000000"/>
      </bottom>
    </border>
    <border>
      <left style="medium">
        <color rgb="FF0000FF"/>
      </left>
      <top style="thin">
        <color rgb="FF0000FF"/>
      </top>
    </border>
    <border>
      <right style="thin">
        <color rgb="FF0000FF"/>
      </right>
      <top style="thin">
        <color rgb="FF0000FF"/>
      </top>
    </border>
    <border>
      <left style="thin">
        <color rgb="FF0000FF"/>
      </left>
      <top style="thin">
        <color rgb="FF0000FF"/>
      </top>
    </border>
    <border>
      <top style="thin">
        <color rgb="FF0000FF"/>
      </top>
    </border>
    <border>
      <left style="thin">
        <color rgb="FF4285F4"/>
      </left>
      <top style="thin">
        <color rgb="FF4285F4"/>
      </top>
      <bottom style="thin">
        <color rgb="FF4285F4"/>
      </bottom>
    </border>
    <border>
      <right style="medium">
        <color rgb="FF0000FF"/>
      </right>
      <top style="thin">
        <color rgb="FF0000FF"/>
      </top>
    </border>
    <border>
      <right style="thin">
        <color rgb="FF4285F4"/>
      </right>
      <top style="thin">
        <color rgb="FF4285F4"/>
      </top>
      <bottom style="thin">
        <color rgb="FF4285F4"/>
      </bottom>
    </border>
    <border>
      <left style="medium">
        <color rgb="FF0000FF"/>
      </left>
    </border>
    <border>
      <right style="thin">
        <color rgb="FF0000FF"/>
      </right>
    </border>
    <border>
      <left style="thin">
        <color rgb="FF0000FF"/>
      </left>
    </border>
    <border>
      <right style="medium">
        <color rgb="FF0000FF"/>
      </right>
    </border>
    <border>
      <left style="medium">
        <color rgb="FF0000FF"/>
      </left>
      <bottom style="thin">
        <color rgb="FF0000FF"/>
      </bottom>
    </border>
    <border>
      <right style="thin">
        <color rgb="FF0000FF"/>
      </right>
      <bottom style="thin">
        <color rgb="FF0000FF"/>
      </bottom>
    </border>
    <border>
      <left style="thin">
        <color rgb="FF0000FF"/>
      </left>
      <bottom style="thin">
        <color rgb="FF0000FF"/>
      </bottom>
    </border>
    <border>
      <bottom style="thin">
        <color rgb="FF0000FF"/>
      </bottom>
    </border>
    <border>
      <right style="medium">
        <color rgb="FF0000FF"/>
      </right>
      <bottom style="thin">
        <color rgb="FF0000FF"/>
      </bottom>
    </border>
    <border>
      <left style="medium">
        <color rgb="FF000000"/>
      </left>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FF"/>
      </left>
      <bottom style="medium">
        <color rgb="FF0000FF"/>
      </bottom>
    </border>
    <border>
      <right style="thin">
        <color rgb="FF0000FF"/>
      </right>
      <bottom style="medium">
        <color rgb="FF0000FF"/>
      </bottom>
    </border>
    <border>
      <left style="thin">
        <color rgb="FF0000FF"/>
      </left>
      <bottom style="medium">
        <color rgb="FF0000FF"/>
      </bottom>
    </border>
    <border>
      <left style="medium">
        <color rgb="FF000000"/>
      </left>
      <right style="thin">
        <color rgb="FF000000"/>
      </right>
      <top style="medium">
        <color rgb="FF000000"/>
      </top>
    </border>
    <border>
      <bottom style="medium">
        <color rgb="FF0000FF"/>
      </bottom>
    </border>
    <border>
      <right style="medium">
        <color rgb="FF0000FF"/>
      </right>
      <bottom style="medium">
        <color rgb="FF0000FF"/>
      </bottom>
    </border>
    <border>
      <left style="thin">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medium">
        <color rgb="FF000000"/>
      </top>
    </border>
    <border>
      <right style="medium">
        <color rgb="FF000000"/>
      </right>
    </border>
    <border>
      <left style="medium">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border>
    <border>
      <left style="thin">
        <color rgb="FF000000"/>
      </left>
      <right style="medium">
        <color rgb="FF000000"/>
      </right>
    </border>
    <border>
      <left style="thin">
        <color rgb="FF000000"/>
      </left>
      <right style="thin">
        <color rgb="FF000000"/>
      </right>
      <top style="thin">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bottom style="medium">
        <color rgb="FF000000"/>
      </bottom>
    </border>
    <border>
      <left style="thin">
        <color rgb="FF000000"/>
      </left>
      <right style="medium">
        <color rgb="FF000000"/>
      </right>
      <bottom style="thin">
        <color rgb="FF000000"/>
      </bottom>
    </border>
    <border>
      <right style="medium">
        <color rgb="FF000000"/>
      </right>
      <bottom style="medium">
        <color rgb="FF000000"/>
      </bottom>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264">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readingOrder="0" shrinkToFit="0" vertical="center" wrapText="1"/>
    </xf>
    <xf borderId="1" fillId="2" fontId="2" numFmtId="0" xfId="0" applyAlignment="1" applyBorder="1" applyFill="1" applyFont="1">
      <alignment horizontal="center" readingOrder="0" vertical="center"/>
    </xf>
    <xf borderId="2" fillId="0" fontId="3" numFmtId="0" xfId="0" applyBorder="1" applyFont="1"/>
    <xf borderId="0" fillId="0" fontId="1" numFmtId="0" xfId="0" applyAlignment="1" applyFont="1">
      <alignment shrinkToFit="0" vertical="center" wrapText="1"/>
    </xf>
    <xf borderId="0" fillId="0" fontId="4" numFmtId="0" xfId="0" applyAlignment="1" applyFont="1">
      <alignment horizontal="center" shrinkToFit="0" vertical="center" wrapText="1"/>
    </xf>
    <xf borderId="3" fillId="0" fontId="3" numFmtId="0" xfId="0" applyBorder="1" applyFont="1"/>
    <xf borderId="0" fillId="0" fontId="4" numFmtId="164" xfId="0" applyAlignment="1" applyFont="1" applyNumberFormat="1">
      <alignment horizontal="left" shrinkToFit="0" vertical="center" wrapText="1"/>
    </xf>
    <xf borderId="0" fillId="0" fontId="1" numFmtId="3" xfId="0" applyAlignment="1" applyFont="1" applyNumberFormat="1">
      <alignment shrinkToFit="0" vertical="center" wrapText="1"/>
    </xf>
    <xf borderId="4" fillId="3" fontId="5" numFmtId="0" xfId="0" applyAlignment="1" applyBorder="1" applyFill="1" applyFont="1">
      <alignment horizontal="left" readingOrder="0" vertical="center"/>
    </xf>
    <xf borderId="0" fillId="0" fontId="1" numFmtId="0" xfId="0" applyAlignment="1" applyFont="1">
      <alignment shrinkToFit="0" vertical="center" wrapText="1"/>
    </xf>
    <xf borderId="5" fillId="0" fontId="3" numFmtId="0" xfId="0" applyBorder="1" applyFont="1"/>
    <xf borderId="0" fillId="0" fontId="4" numFmtId="3" xfId="0" applyAlignment="1" applyFont="1" applyNumberFormat="1">
      <alignment vertical="center"/>
    </xf>
    <xf borderId="6" fillId="3" fontId="1" numFmtId="0" xfId="0" applyAlignment="1" applyBorder="1" applyFont="1">
      <alignment readingOrder="0" vertical="center"/>
    </xf>
    <xf borderId="0" fillId="0" fontId="6" numFmtId="3" xfId="0" applyFont="1" applyNumberFormat="1"/>
    <xf borderId="7" fillId="0" fontId="3" numFmtId="0" xfId="0" applyBorder="1" applyFont="1"/>
    <xf borderId="8" fillId="0" fontId="3" numFmtId="0" xfId="0" applyBorder="1" applyFont="1"/>
    <xf borderId="9" fillId="0" fontId="4" numFmtId="3" xfId="0" applyAlignment="1" applyBorder="1" applyFont="1" applyNumberFormat="1">
      <alignment vertical="center"/>
    </xf>
    <xf borderId="0" fillId="4" fontId="7" numFmtId="0" xfId="0" applyAlignment="1" applyFill="1" applyFont="1">
      <alignment readingOrder="0" vertical="center"/>
    </xf>
    <xf borderId="10" fillId="3" fontId="5" numFmtId="0" xfId="0" applyAlignment="1" applyBorder="1" applyFont="1">
      <alignment horizontal="left" readingOrder="0" vertical="center"/>
    </xf>
    <xf borderId="11" fillId="0" fontId="3" numFmtId="0" xfId="0" applyBorder="1" applyFont="1"/>
    <xf borderId="12" fillId="3" fontId="1" numFmtId="0" xfId="0" applyAlignment="1" applyBorder="1" applyFont="1">
      <alignment readingOrder="0" shrinkToFit="0" vertical="center" wrapText="1"/>
    </xf>
    <xf borderId="13" fillId="0" fontId="3" numFmtId="0" xfId="0" applyBorder="1" applyFont="1"/>
    <xf borderId="14" fillId="0" fontId="8" numFmtId="0" xfId="0" applyAlignment="1" applyBorder="1" applyFont="1">
      <alignment horizontal="center" readingOrder="0" shrinkToFit="0" vertical="center" wrapText="1"/>
    </xf>
    <xf borderId="15" fillId="0" fontId="3" numFmtId="0" xfId="0" applyBorder="1" applyFont="1"/>
    <xf borderId="16" fillId="0" fontId="3" numFmtId="0" xfId="0" applyBorder="1" applyFont="1"/>
    <xf borderId="17" fillId="0" fontId="3" numFmtId="0" xfId="0" applyBorder="1" applyFont="1"/>
    <xf borderId="18" fillId="0" fontId="3" numFmtId="0" xfId="0" applyBorder="1" applyFont="1"/>
    <xf borderId="19" fillId="0" fontId="3" numFmtId="0" xfId="0" applyBorder="1" applyFont="1"/>
    <xf borderId="20" fillId="0" fontId="3" numFmtId="0" xfId="0" applyBorder="1" applyFont="1"/>
    <xf borderId="0" fillId="0" fontId="1" numFmtId="0" xfId="0" applyAlignment="1" applyFont="1">
      <alignment shrinkToFit="0" vertical="center" wrapText="1"/>
    </xf>
    <xf borderId="21" fillId="0" fontId="3" numFmtId="0" xfId="0" applyBorder="1" applyFont="1"/>
    <xf borderId="22" fillId="0" fontId="3" numFmtId="0" xfId="0" applyBorder="1" applyFont="1"/>
    <xf borderId="23" fillId="0" fontId="3" numFmtId="0" xfId="0" applyBorder="1" applyFont="1"/>
    <xf borderId="24" fillId="0" fontId="3" numFmtId="0" xfId="0" applyBorder="1" applyFont="1"/>
    <xf borderId="25" fillId="0" fontId="3" numFmtId="0" xfId="0" applyBorder="1" applyFont="1"/>
    <xf borderId="26" fillId="5" fontId="9" numFmtId="0" xfId="0" applyAlignment="1" applyBorder="1" applyFill="1" applyFont="1">
      <alignment horizontal="center" shrinkToFit="0" textRotation="90" vertical="center" wrapText="1"/>
    </xf>
    <xf borderId="27" fillId="0" fontId="3" numFmtId="0" xfId="0" applyBorder="1" applyFont="1"/>
    <xf borderId="28" fillId="5" fontId="9" numFmtId="0" xfId="0" applyAlignment="1" applyBorder="1" applyFont="1">
      <alignment horizontal="center" shrinkToFit="0" vertical="center" wrapText="1"/>
    </xf>
    <xf borderId="10" fillId="3" fontId="5" numFmtId="0" xfId="0" applyAlignment="1" applyBorder="1" applyFont="1">
      <alignment horizontal="left" readingOrder="0" shrinkToFit="0" vertical="center" wrapText="1"/>
    </xf>
    <xf borderId="28" fillId="5" fontId="9" numFmtId="165" xfId="0" applyAlignment="1" applyBorder="1" applyFont="1" applyNumberFormat="1">
      <alignment horizontal="left" readingOrder="0" shrinkToFit="0" vertical="center" wrapText="1"/>
    </xf>
    <xf borderId="28" fillId="5" fontId="9" numFmtId="3" xfId="0" applyAlignment="1" applyBorder="1" applyFont="1" applyNumberFormat="1">
      <alignment horizontal="center" readingOrder="0" shrinkToFit="0" vertical="center" wrapText="1"/>
    </xf>
    <xf borderId="28" fillId="5" fontId="9" numFmtId="0" xfId="0" applyAlignment="1" applyBorder="1" applyFont="1">
      <alignment horizontal="center" readingOrder="0" shrinkToFit="0" vertical="center" wrapText="1"/>
    </xf>
    <xf borderId="29" fillId="5" fontId="9" numFmtId="0" xfId="0" applyAlignment="1" applyBorder="1" applyFont="1">
      <alignment horizontal="center" readingOrder="0" shrinkToFit="0" vertical="center" wrapText="1"/>
    </xf>
    <xf borderId="30" fillId="5" fontId="9" numFmtId="0" xfId="0" applyAlignment="1" applyBorder="1" applyFont="1">
      <alignment horizontal="center" readingOrder="0" shrinkToFit="0" vertical="center" wrapText="1"/>
    </xf>
    <xf borderId="31" fillId="0" fontId="3" numFmtId="0" xfId="0" applyBorder="1" applyFont="1"/>
    <xf borderId="32" fillId="0" fontId="3" numFmtId="0" xfId="0" applyBorder="1" applyFont="1"/>
    <xf borderId="33" fillId="0" fontId="3" numFmtId="0" xfId="0" applyBorder="1" applyFont="1"/>
    <xf borderId="34" fillId="5" fontId="4" numFmtId="0" xfId="0" applyAlignment="1" applyBorder="1" applyFont="1">
      <alignment horizontal="center" readingOrder="0" shrinkToFit="0" textRotation="90" vertical="center" wrapText="1"/>
    </xf>
    <xf borderId="35" fillId="0" fontId="3" numFmtId="0" xfId="0" applyBorder="1" applyFont="1"/>
    <xf borderId="36" fillId="0" fontId="3" numFmtId="0" xfId="0" applyBorder="1" applyFont="1"/>
    <xf borderId="37" fillId="0" fontId="4" numFmtId="0" xfId="0" applyAlignment="1" applyBorder="1" applyFont="1">
      <alignment horizontal="center" readingOrder="0" shrinkToFit="0" vertical="center" wrapText="1"/>
    </xf>
    <xf borderId="37" fillId="0" fontId="4" numFmtId="0" xfId="0" applyAlignment="1" applyBorder="1" applyFont="1">
      <alignment horizontal="left" readingOrder="0" shrinkToFit="0" vertical="center" wrapText="1"/>
    </xf>
    <xf borderId="38" fillId="0" fontId="4" numFmtId="166" xfId="0" applyAlignment="1" applyBorder="1" applyFont="1" applyNumberFormat="1">
      <alignment horizontal="left" readingOrder="0" shrinkToFit="0" vertical="center" wrapText="1"/>
    </xf>
    <xf borderId="38" fillId="6" fontId="4" numFmtId="3" xfId="0" applyAlignment="1" applyBorder="1" applyFill="1" applyFont="1" applyNumberFormat="1">
      <alignment horizontal="center" shrinkToFit="0" vertical="center" wrapText="1"/>
    </xf>
    <xf borderId="0" fillId="0" fontId="4" numFmtId="3" xfId="0" applyAlignment="1" applyFont="1" applyNumberFormat="1">
      <alignment horizontal="center" shrinkToFit="0" vertical="center" wrapText="1"/>
    </xf>
    <xf borderId="0" fillId="0" fontId="4" numFmtId="3" xfId="0" applyAlignment="1" applyFont="1" applyNumberFormat="1">
      <alignment horizontal="left" vertical="center"/>
    </xf>
    <xf borderId="0" fillId="0" fontId="10" numFmtId="0" xfId="0" applyFont="1"/>
    <xf borderId="0" fillId="0" fontId="10" numFmtId="164" xfId="0" applyFont="1" applyNumberFormat="1"/>
    <xf borderId="37" fillId="7" fontId="4" numFmtId="9" xfId="0" applyAlignment="1" applyBorder="1" applyFill="1" applyFont="1" applyNumberFormat="1">
      <alignment horizontal="center" shrinkToFit="0" vertical="center" wrapText="1"/>
    </xf>
    <xf borderId="39" fillId="8" fontId="9" numFmtId="3" xfId="0" applyAlignment="1" applyBorder="1" applyFill="1" applyFont="1" applyNumberFormat="1">
      <alignment horizontal="center" readingOrder="0" vertical="center"/>
    </xf>
    <xf borderId="37" fillId="9" fontId="4" numFmtId="9" xfId="0" applyAlignment="1" applyBorder="1" applyFill="1" applyFont="1" applyNumberFormat="1">
      <alignment horizontal="center" readingOrder="0" shrinkToFit="0" vertical="center" wrapText="1"/>
    </xf>
    <xf borderId="40" fillId="0" fontId="3" numFmtId="0" xfId="0" applyBorder="1" applyFont="1"/>
    <xf borderId="0" fillId="0" fontId="10" numFmtId="0" xfId="0" applyFont="1"/>
    <xf borderId="39" fillId="0" fontId="11" numFmtId="0" xfId="0" applyAlignment="1" applyBorder="1" applyFont="1">
      <alignment horizontal="center" readingOrder="0" shrinkToFit="0" vertical="center" wrapText="1"/>
    </xf>
    <xf borderId="41" fillId="0" fontId="3" numFmtId="0" xfId="0" applyBorder="1" applyFont="1"/>
    <xf borderId="42" fillId="0" fontId="6" numFmtId="164" xfId="0" applyAlignment="1" applyBorder="1" applyFont="1" applyNumberFormat="1">
      <alignment horizontal="left" vertical="center"/>
    </xf>
    <xf borderId="39" fillId="0" fontId="11" numFmtId="0" xfId="0" applyAlignment="1" applyBorder="1" applyFont="1">
      <alignment horizontal="center" readingOrder="0" vertical="center"/>
    </xf>
    <xf borderId="42" fillId="0" fontId="6" numFmtId="164" xfId="0" applyAlignment="1" applyBorder="1" applyFont="1" applyNumberFormat="1">
      <alignment horizontal="center" vertical="center"/>
    </xf>
    <xf borderId="43" fillId="7" fontId="4" numFmtId="9" xfId="0" applyAlignment="1" applyBorder="1" applyFont="1" applyNumberFormat="1">
      <alignment horizontal="center" readingOrder="0" shrinkToFit="0" vertical="center" wrapText="1"/>
    </xf>
    <xf borderId="42" fillId="0" fontId="6" numFmtId="0" xfId="0" applyAlignment="1" applyBorder="1" applyFont="1">
      <alignment horizontal="center" readingOrder="0" vertical="center"/>
    </xf>
    <xf borderId="39" fillId="5" fontId="6" numFmtId="0" xfId="0" applyAlignment="1" applyBorder="1" applyFont="1">
      <alignment horizontal="center" shrinkToFit="0" textRotation="90" vertical="center" wrapText="1"/>
    </xf>
    <xf borderId="44" fillId="7" fontId="4" numFmtId="9" xfId="0" applyAlignment="1" applyBorder="1" applyFont="1" applyNumberFormat="1">
      <alignment horizontal="center" readingOrder="0" shrinkToFit="0" vertical="center" wrapText="1"/>
    </xf>
    <xf borderId="0" fillId="0" fontId="1" numFmtId="167" xfId="0" applyAlignment="1" applyFont="1" applyNumberFormat="1">
      <alignment shrinkToFit="0" vertical="center" wrapText="1"/>
    </xf>
    <xf borderId="42" fillId="5" fontId="6" numFmtId="0" xfId="0" applyAlignment="1" applyBorder="1" applyFont="1">
      <alignment horizontal="center" vertical="center"/>
    </xf>
    <xf borderId="42" fillId="5" fontId="6" numFmtId="165" xfId="0" applyAlignment="1" applyBorder="1" applyFont="1" applyNumberFormat="1">
      <alignment horizontal="left" readingOrder="0" vertical="center"/>
    </xf>
    <xf borderId="45" fillId="0" fontId="3" numFmtId="0" xfId="0" applyBorder="1" applyFont="1"/>
    <xf borderId="46" fillId="0" fontId="3" numFmtId="0" xfId="0" applyBorder="1" applyFont="1"/>
    <xf borderId="42" fillId="5" fontId="6" numFmtId="0" xfId="0" applyAlignment="1" applyBorder="1" applyFont="1">
      <alignment horizontal="center" readingOrder="0" vertical="center"/>
    </xf>
    <xf borderId="42" fillId="0" fontId="4" numFmtId="166" xfId="0" applyAlignment="1" applyBorder="1" applyFont="1" applyNumberFormat="1">
      <alignment horizontal="left" readingOrder="0" shrinkToFit="0" vertical="center" wrapText="1"/>
    </xf>
    <xf borderId="42" fillId="10" fontId="1" numFmtId="3" xfId="0" applyAlignment="1" applyBorder="1" applyFill="1" applyFont="1" applyNumberFormat="1">
      <alignment readingOrder="0" shrinkToFit="0" vertical="center" wrapText="1"/>
    </xf>
    <xf borderId="47" fillId="0" fontId="3" numFmtId="0" xfId="0" applyBorder="1" applyFont="1"/>
    <xf borderId="48" fillId="0" fontId="3" numFmtId="0" xfId="0" applyBorder="1" applyFont="1"/>
    <xf borderId="44" fillId="0" fontId="3" numFmtId="0" xfId="0" applyBorder="1" applyFont="1"/>
    <xf borderId="42" fillId="5" fontId="6" numFmtId="0" xfId="0" applyAlignment="1" applyBorder="1" applyFont="1">
      <alignment horizontal="center" shrinkToFit="0" vertical="center" wrapText="1"/>
    </xf>
    <xf borderId="49" fillId="8" fontId="9" numFmtId="3" xfId="0" applyAlignment="1" applyBorder="1" applyFont="1" applyNumberFormat="1">
      <alignment horizontal="center" readingOrder="0" vertical="center"/>
    </xf>
    <xf borderId="49" fillId="0" fontId="4" numFmtId="0" xfId="0" applyAlignment="1" applyBorder="1" applyFont="1">
      <alignment horizontal="center" readingOrder="0" shrinkToFit="0" vertical="center" wrapText="1"/>
    </xf>
    <xf borderId="49" fillId="5" fontId="6" numFmtId="0" xfId="0" applyAlignment="1" applyBorder="1" applyFont="1">
      <alignment horizontal="center" readingOrder="0" shrinkToFit="0" textRotation="90" vertical="center" wrapText="1"/>
    </xf>
    <xf borderId="49" fillId="0" fontId="6" numFmtId="0" xfId="0" applyAlignment="1" applyBorder="1" applyFont="1">
      <alignment horizontal="center" readingOrder="0" shrinkToFit="0" vertical="center" wrapText="1"/>
    </xf>
    <xf borderId="39" fillId="11" fontId="9" numFmtId="3" xfId="0" applyAlignment="1" applyBorder="1" applyFill="1" applyFont="1" applyNumberFormat="1">
      <alignment horizontal="center" readingOrder="0" vertical="center"/>
    </xf>
    <xf borderId="49" fillId="0" fontId="1" numFmtId="0" xfId="0" applyAlignment="1" applyBorder="1" applyFont="1">
      <alignment readingOrder="0" shrinkToFit="0" vertical="center" wrapText="1"/>
    </xf>
    <xf borderId="49" fillId="0" fontId="6" numFmtId="0" xfId="0" applyAlignment="1" applyBorder="1" applyFont="1">
      <alignment horizontal="left" readingOrder="0" shrinkToFit="0" vertical="center" wrapText="1"/>
    </xf>
    <xf borderId="42" fillId="6" fontId="4" numFmtId="3" xfId="0" applyAlignment="1" applyBorder="1" applyFont="1" applyNumberFormat="1">
      <alignment horizontal="center" shrinkToFit="0" vertical="center" wrapText="1"/>
    </xf>
    <xf borderId="42" fillId="0" fontId="6" numFmtId="166" xfId="0" applyAlignment="1" applyBorder="1" applyFont="1" applyNumberFormat="1">
      <alignment horizontal="left" readingOrder="0" shrinkToFit="0" vertical="center" wrapText="1"/>
    </xf>
    <xf borderId="42" fillId="9" fontId="6" numFmtId="167" xfId="0" applyAlignment="1" applyBorder="1" applyFont="1" applyNumberFormat="1">
      <alignment horizontal="center" readingOrder="0" shrinkToFit="0" vertical="center" wrapText="1"/>
    </xf>
    <xf borderId="49" fillId="7" fontId="4" numFmtId="9" xfId="0" applyAlignment="1" applyBorder="1" applyFont="1" applyNumberFormat="1">
      <alignment horizontal="center" shrinkToFit="0" vertical="center" wrapText="1"/>
    </xf>
    <xf borderId="49" fillId="9" fontId="4" numFmtId="9" xfId="0" applyAlignment="1" applyBorder="1" applyFont="1" applyNumberFormat="1">
      <alignment horizontal="center" readingOrder="0" shrinkToFit="0" vertical="center" wrapText="1"/>
    </xf>
    <xf borderId="42" fillId="8" fontId="6" numFmtId="167" xfId="0" applyAlignment="1" applyBorder="1" applyFont="1" applyNumberFormat="1">
      <alignment horizontal="center" readingOrder="0" shrinkToFit="0" vertical="center" wrapText="1"/>
    </xf>
    <xf borderId="42" fillId="10" fontId="1" numFmtId="3" xfId="0" applyAlignment="1" applyBorder="1" applyFont="1" applyNumberFormat="1">
      <alignment shrinkToFit="0" vertical="center" wrapText="1"/>
    </xf>
    <xf borderId="49" fillId="8" fontId="6" numFmtId="9" xfId="0" applyAlignment="1" applyBorder="1" applyFont="1" applyNumberFormat="1">
      <alignment horizontal="center" shrinkToFit="0" vertical="center" wrapText="1"/>
    </xf>
    <xf borderId="0" fillId="0" fontId="10" numFmtId="9" xfId="0" applyFont="1" applyNumberFormat="1"/>
    <xf borderId="49" fillId="0" fontId="4" numFmtId="0" xfId="0" applyAlignment="1" applyBorder="1" applyFont="1">
      <alignment horizontal="left" readingOrder="0" shrinkToFit="0" vertical="center" wrapText="1"/>
    </xf>
    <xf borderId="42" fillId="0" fontId="6" numFmtId="167" xfId="0" applyAlignment="1" applyBorder="1" applyFont="1" applyNumberFormat="1">
      <alignment horizontal="center" readingOrder="0" shrinkToFit="0" vertical="center" wrapText="1"/>
    </xf>
    <xf borderId="50" fillId="0" fontId="3" numFmtId="0" xfId="0" applyBorder="1" applyFont="1"/>
    <xf borderId="51" fillId="0" fontId="3" numFmtId="0" xfId="0" applyBorder="1" applyFont="1"/>
    <xf borderId="52" fillId="0" fontId="4" numFmtId="166" xfId="0" applyAlignment="1" applyBorder="1" applyFont="1" applyNumberFormat="1">
      <alignment horizontal="left" readingOrder="0" shrinkToFit="0" vertical="center" wrapText="1"/>
    </xf>
    <xf borderId="52" fillId="10" fontId="1" numFmtId="3" xfId="0" applyAlignment="1" applyBorder="1" applyFont="1" applyNumberFormat="1">
      <alignment shrinkToFit="0" vertical="center" wrapText="1"/>
    </xf>
    <xf borderId="53" fillId="0" fontId="3" numFmtId="0" xfId="0" applyBorder="1" applyFont="1"/>
    <xf borderId="49" fillId="11" fontId="9" numFmtId="3" xfId="0" applyAlignment="1" applyBorder="1" applyFont="1" applyNumberFormat="1">
      <alignment horizontal="center" readingOrder="0" vertical="center"/>
    </xf>
    <xf borderId="39" fillId="12" fontId="9" numFmtId="3" xfId="0" applyAlignment="1" applyBorder="1" applyFill="1" applyFont="1" applyNumberFormat="1">
      <alignment horizontal="center" readingOrder="0" vertical="center"/>
    </xf>
    <xf borderId="0" fillId="0" fontId="6" numFmtId="0" xfId="0" applyAlignment="1" applyFont="1">
      <alignment readingOrder="0" shrinkToFit="0" vertical="center" wrapText="1"/>
    </xf>
    <xf borderId="49" fillId="12" fontId="9" numFmtId="3" xfId="0" applyAlignment="1" applyBorder="1" applyFont="1" applyNumberFormat="1">
      <alignment horizontal="center" readingOrder="0" vertical="center"/>
    </xf>
    <xf borderId="39" fillId="7" fontId="9" numFmtId="3" xfId="0" applyAlignment="1" applyBorder="1" applyFont="1" applyNumberFormat="1">
      <alignment horizontal="center" readingOrder="0" vertical="center"/>
    </xf>
    <xf borderId="0" fillId="0" fontId="4" numFmtId="0" xfId="0" applyAlignment="1" applyFont="1">
      <alignment vertical="center"/>
    </xf>
    <xf borderId="0" fillId="0" fontId="4" numFmtId="164" xfId="0" applyAlignment="1" applyFont="1" applyNumberFormat="1">
      <alignment vertical="center"/>
    </xf>
    <xf borderId="0" fillId="0" fontId="6" numFmtId="164" xfId="0" applyFont="1" applyNumberFormat="1"/>
    <xf borderId="9" fillId="0" fontId="4" numFmtId="164" xfId="0" applyAlignment="1" applyBorder="1" applyFont="1" applyNumberFormat="1">
      <alignment vertical="center"/>
    </xf>
    <xf borderId="39" fillId="0" fontId="4" numFmtId="3" xfId="0" applyAlignment="1" applyBorder="1" applyFont="1" applyNumberFormat="1">
      <alignment horizontal="center" shrinkToFit="0" vertical="center" wrapText="1"/>
    </xf>
    <xf borderId="42" fillId="0" fontId="4" numFmtId="3" xfId="0" applyAlignment="1" applyBorder="1" applyFont="1" applyNumberFormat="1">
      <alignment horizontal="left" vertical="center"/>
    </xf>
    <xf borderId="49" fillId="7" fontId="9" numFmtId="3" xfId="0" applyAlignment="1" applyBorder="1" applyFont="1" applyNumberFormat="1">
      <alignment horizontal="center" readingOrder="0" vertical="center"/>
    </xf>
    <xf borderId="39" fillId="6" fontId="9" numFmtId="3" xfId="0" applyAlignment="1" applyBorder="1" applyFont="1" applyNumberFormat="1">
      <alignment horizontal="center" vertical="center"/>
    </xf>
    <xf borderId="39" fillId="6" fontId="9" numFmtId="3" xfId="0" applyAlignment="1" applyBorder="1" applyFont="1" applyNumberFormat="1">
      <alignment horizontal="center" readingOrder="0" vertical="center"/>
    </xf>
    <xf borderId="49" fillId="0" fontId="4" numFmtId="0" xfId="0" applyAlignment="1" applyBorder="1" applyFont="1">
      <alignment readingOrder="0" shrinkToFit="0" vertical="center" wrapText="1"/>
    </xf>
    <xf borderId="0" fillId="0" fontId="4" numFmtId="164" xfId="0" applyAlignment="1" applyFont="1" applyNumberFormat="1">
      <alignment horizontal="left" vertical="center"/>
    </xf>
    <xf borderId="0" fillId="0" fontId="6" numFmtId="0" xfId="0" applyFont="1"/>
    <xf borderId="39" fillId="8" fontId="9" numFmtId="0" xfId="0" applyAlignment="1" applyBorder="1" applyFont="1">
      <alignment horizontal="center" readingOrder="0" vertical="center"/>
    </xf>
    <xf borderId="39" fillId="5" fontId="4" numFmtId="3" xfId="0" applyAlignment="1" applyBorder="1" applyFont="1" applyNumberFormat="1">
      <alignment horizontal="center" shrinkToFit="0" textRotation="90" vertical="center" wrapText="1"/>
    </xf>
    <xf borderId="42" fillId="5" fontId="4" numFmtId="3" xfId="0" applyAlignment="1" applyBorder="1" applyFont="1" applyNumberFormat="1">
      <alignment horizontal="center" vertical="center"/>
    </xf>
    <xf borderId="42" fillId="5" fontId="4" numFmtId="3" xfId="0" applyAlignment="1" applyBorder="1" applyFont="1" applyNumberFormat="1">
      <alignment horizontal="left" readingOrder="0" vertical="center"/>
    </xf>
    <xf borderId="46" fillId="8" fontId="9" numFmtId="3" xfId="0" applyAlignment="1" applyBorder="1" applyFont="1" applyNumberFormat="1">
      <alignment horizontal="center" readingOrder="0" vertical="center"/>
    </xf>
    <xf borderId="46" fillId="11" fontId="9" numFmtId="3" xfId="0" applyAlignment="1" applyBorder="1" applyFont="1" applyNumberFormat="1">
      <alignment horizontal="center" readingOrder="0" vertical="center"/>
    </xf>
    <xf borderId="46" fillId="12" fontId="9" numFmtId="3" xfId="0" applyAlignment="1" applyBorder="1" applyFont="1" applyNumberFormat="1">
      <alignment horizontal="center" readingOrder="0" vertical="center"/>
    </xf>
    <xf borderId="47" fillId="0" fontId="4" numFmtId="166" xfId="0" applyAlignment="1" applyBorder="1" applyFont="1" applyNumberFormat="1">
      <alignment horizontal="left" readingOrder="0" shrinkToFit="0" vertical="center" wrapText="1"/>
    </xf>
    <xf borderId="46" fillId="7" fontId="9" numFmtId="3" xfId="0" applyAlignment="1" applyBorder="1" applyFont="1" applyNumberFormat="1">
      <alignment horizontal="center" readingOrder="0" vertical="center"/>
    </xf>
    <xf borderId="47" fillId="10" fontId="1" numFmtId="3" xfId="0" applyAlignment="1" applyBorder="1" applyFont="1" applyNumberFormat="1">
      <alignment shrinkToFit="0" vertical="center" wrapText="1"/>
    </xf>
    <xf borderId="42" fillId="6" fontId="4" numFmtId="3" xfId="0" applyAlignment="1" applyBorder="1" applyFont="1" applyNumberFormat="1">
      <alignment horizontal="center" readingOrder="0" vertical="center"/>
    </xf>
    <xf borderId="42" fillId="13" fontId="4" numFmtId="3" xfId="0" applyAlignment="1" applyBorder="1" applyFill="1" applyFont="1" applyNumberFormat="1">
      <alignment horizontal="center" vertical="center"/>
    </xf>
    <xf borderId="54" fillId="0" fontId="3" numFmtId="0" xfId="0" applyBorder="1" applyFont="1"/>
    <xf borderId="34" fillId="5" fontId="4" numFmtId="0" xfId="0" applyAlignment="1" applyBorder="1" applyFont="1">
      <alignment horizontal="center" shrinkToFit="0" textRotation="90" vertical="center" wrapText="1"/>
    </xf>
    <xf borderId="37" fillId="0" fontId="4" numFmtId="0" xfId="0" applyAlignment="1" applyBorder="1" applyFont="1">
      <alignment horizontal="center" shrinkToFit="0" vertical="center" wrapText="1"/>
    </xf>
    <xf borderId="42" fillId="13" fontId="4" numFmtId="3" xfId="0" applyAlignment="1" applyBorder="1" applyFont="1" applyNumberFormat="1">
      <alignment horizontal="center" readingOrder="0" vertical="center"/>
    </xf>
    <xf borderId="49" fillId="8" fontId="9" numFmtId="0" xfId="0" applyAlignment="1" applyBorder="1" applyFont="1">
      <alignment horizontal="center" readingOrder="0" vertical="center"/>
    </xf>
    <xf borderId="39" fillId="11" fontId="9" numFmtId="0" xfId="0" applyAlignment="1" applyBorder="1" applyFont="1">
      <alignment horizontal="center" readingOrder="0" vertical="center"/>
    </xf>
    <xf borderId="49" fillId="0" fontId="4" numFmtId="0" xfId="0" applyAlignment="1" applyBorder="1" applyFont="1">
      <alignment horizontal="center" shrinkToFit="0" vertical="center" wrapText="1"/>
    </xf>
    <xf borderId="49" fillId="0" fontId="4" numFmtId="0" xfId="0" applyAlignment="1" applyBorder="1" applyFont="1">
      <alignment horizontal="left" shrinkToFit="0" vertical="center" wrapText="1"/>
    </xf>
    <xf borderId="49" fillId="0" fontId="6" numFmtId="0" xfId="0" applyAlignment="1" applyBorder="1" applyFont="1">
      <alignment readingOrder="0" shrinkToFit="0" vertical="center" wrapText="1"/>
    </xf>
    <xf borderId="55" fillId="0" fontId="3" numFmtId="0" xfId="0" applyBorder="1" applyFont="1"/>
    <xf borderId="0" fillId="0" fontId="1" numFmtId="166" xfId="0" applyAlignment="1" applyFont="1" applyNumberFormat="1">
      <alignment shrinkToFit="0" vertical="center" wrapText="1"/>
    </xf>
    <xf borderId="49" fillId="11" fontId="9" numFmtId="0" xfId="0" applyAlignment="1" applyBorder="1" applyFont="1">
      <alignment horizontal="center" readingOrder="0" vertical="center"/>
    </xf>
    <xf borderId="39" fillId="12" fontId="9" numFmtId="0" xfId="0" applyAlignment="1" applyBorder="1" applyFont="1">
      <alignment horizontal="center" readingOrder="0" vertical="center"/>
    </xf>
    <xf borderId="49" fillId="5" fontId="4" numFmtId="3" xfId="0" applyAlignment="1" applyBorder="1" applyFont="1" applyNumberFormat="1">
      <alignment horizontal="center" readingOrder="0" shrinkToFit="0" textRotation="90" vertical="center" wrapText="1"/>
    </xf>
    <xf borderId="49" fillId="0" fontId="4" numFmtId="3" xfId="0" applyAlignment="1" applyBorder="1" applyFont="1" applyNumberFormat="1">
      <alignment horizontal="center" readingOrder="0" shrinkToFit="0" vertical="center" wrapText="1"/>
    </xf>
    <xf borderId="49" fillId="0" fontId="4" numFmtId="3" xfId="0" applyAlignment="1" applyBorder="1" applyFont="1" applyNumberFormat="1">
      <alignment horizontal="left" readingOrder="0" shrinkToFit="0" vertical="center" wrapText="1"/>
    </xf>
    <xf borderId="42" fillId="0" fontId="4" numFmtId="3" xfId="0" applyAlignment="1" applyBorder="1" applyFont="1" applyNumberFormat="1">
      <alignment horizontal="left" readingOrder="0" shrinkToFit="0" vertical="center" wrapText="1"/>
    </xf>
    <xf borderId="42" fillId="8" fontId="4" numFmtId="3" xfId="0" applyAlignment="1" applyBorder="1" applyFont="1" applyNumberFormat="1">
      <alignment horizontal="center" readingOrder="0" shrinkToFit="0" vertical="center" wrapText="1"/>
    </xf>
    <xf borderId="42" fillId="11" fontId="4" numFmtId="3" xfId="0" applyAlignment="1" applyBorder="1" applyFont="1" applyNumberFormat="1">
      <alignment horizontal="center" readingOrder="0" shrinkToFit="0" vertical="center" wrapText="1"/>
    </xf>
    <xf borderId="42" fillId="12" fontId="4" numFmtId="3" xfId="0" applyAlignment="1" applyBorder="1" applyFont="1" applyNumberFormat="1">
      <alignment horizontal="center" readingOrder="0" shrinkToFit="0" vertical="center" wrapText="1"/>
    </xf>
    <xf borderId="42" fillId="7" fontId="4" numFmtId="3" xfId="0" applyAlignment="1" applyBorder="1" applyFont="1" applyNumberFormat="1">
      <alignment horizontal="center" readingOrder="0" shrinkToFit="0" vertical="center" wrapText="1"/>
    </xf>
    <xf borderId="42" fillId="6" fontId="4" numFmtId="3" xfId="0" applyAlignment="1" applyBorder="1" applyFont="1" applyNumberFormat="1">
      <alignment horizontal="center" readingOrder="0" shrinkToFit="0" vertical="center" wrapText="1"/>
    </xf>
    <xf borderId="42" fillId="14" fontId="4" numFmtId="3" xfId="0" applyAlignment="1" applyBorder="1" applyFill="1" applyFont="1" applyNumberFormat="1">
      <alignment horizontal="center" readingOrder="0" shrinkToFit="0" vertical="center" wrapText="1"/>
    </xf>
    <xf borderId="49" fillId="12" fontId="9" numFmtId="0" xfId="0" applyAlignment="1" applyBorder="1" applyFont="1">
      <alignment horizontal="center" readingOrder="0" vertical="center"/>
    </xf>
    <xf borderId="39" fillId="7" fontId="9" numFmtId="0" xfId="0" applyAlignment="1" applyBorder="1" applyFont="1">
      <alignment horizontal="center" readingOrder="0" vertical="center"/>
    </xf>
    <xf borderId="42" fillId="14" fontId="4" numFmtId="3" xfId="0" applyAlignment="1" applyBorder="1" applyFont="1" applyNumberFormat="1">
      <alignment horizontal="center" readingOrder="0" shrinkToFit="0" wrapText="1"/>
    </xf>
    <xf borderId="41" fillId="14" fontId="4" numFmtId="3" xfId="0" applyAlignment="1" applyBorder="1" applyFont="1" applyNumberFormat="1">
      <alignment horizontal="center" shrinkToFit="0" wrapText="1"/>
    </xf>
    <xf borderId="49" fillId="5" fontId="6" numFmtId="0" xfId="0" applyAlignment="1" applyBorder="1" applyFont="1">
      <alignment horizontal="center" shrinkToFit="0" textRotation="90" vertical="center" wrapText="1"/>
    </xf>
    <xf borderId="49" fillId="0" fontId="6" numFmtId="0" xfId="0" applyAlignment="1" applyBorder="1" applyFont="1">
      <alignment horizontal="center" shrinkToFit="0" vertical="center" wrapText="1"/>
    </xf>
    <xf borderId="42" fillId="9" fontId="6" numFmtId="3" xfId="0" applyAlignment="1" applyBorder="1" applyFont="1" applyNumberFormat="1">
      <alignment horizontal="center" readingOrder="0" shrinkToFit="0" vertical="center" wrapText="1"/>
    </xf>
    <xf borderId="42" fillId="8" fontId="6" numFmtId="3" xfId="0" applyAlignment="1" applyBorder="1" applyFont="1" applyNumberFormat="1">
      <alignment horizontal="center" readingOrder="0" shrinkToFit="0" vertical="center" wrapText="1"/>
    </xf>
    <xf borderId="42" fillId="0" fontId="6" numFmtId="3" xfId="0" applyAlignment="1" applyBorder="1" applyFont="1" applyNumberFormat="1">
      <alignment horizontal="center" readingOrder="0" shrinkToFit="0" vertical="center" wrapText="1"/>
    </xf>
    <xf borderId="39" fillId="0" fontId="4" numFmtId="0" xfId="0" applyAlignment="1" applyBorder="1" applyFont="1">
      <alignment horizontal="center" shrinkToFit="0" vertical="center" wrapText="1"/>
    </xf>
    <xf borderId="42" fillId="0" fontId="4" numFmtId="164" xfId="0" applyAlignment="1" applyBorder="1" applyFont="1" applyNumberFormat="1">
      <alignment horizontal="left" vertical="center"/>
    </xf>
    <xf borderId="49" fillId="7" fontId="9" numFmtId="0" xfId="0" applyAlignment="1" applyBorder="1" applyFont="1">
      <alignment horizontal="center" readingOrder="0" vertical="center"/>
    </xf>
    <xf borderId="39" fillId="6" fontId="9" numFmtId="0" xfId="0" applyAlignment="1" applyBorder="1" applyFont="1">
      <alignment horizontal="center" vertical="center"/>
    </xf>
    <xf borderId="39" fillId="6" fontId="9" numFmtId="0" xfId="0" applyAlignment="1" applyBorder="1" applyFont="1">
      <alignment horizontal="center" readingOrder="0" vertical="center"/>
    </xf>
    <xf borderId="49" fillId="0" fontId="6" numFmtId="0" xfId="0" applyAlignment="1" applyBorder="1" applyFont="1">
      <alignment horizontal="left" shrinkToFit="0" vertical="center" wrapText="1"/>
    </xf>
    <xf borderId="42" fillId="0" fontId="6" numFmtId="3" xfId="0" applyAlignment="1" applyBorder="1" applyFont="1" applyNumberFormat="1">
      <alignment horizontal="center" shrinkToFit="0" vertical="center" wrapText="1"/>
    </xf>
    <xf borderId="0" fillId="0" fontId="10" numFmtId="166" xfId="0" applyFont="1" applyNumberFormat="1"/>
    <xf borderId="0" fillId="0" fontId="10" numFmtId="167" xfId="0" applyFont="1" applyNumberFormat="1"/>
    <xf borderId="0" fillId="0" fontId="12" numFmtId="9" xfId="0" applyAlignment="1" applyFont="1" applyNumberFormat="1">
      <alignment readingOrder="0"/>
    </xf>
    <xf borderId="39" fillId="5" fontId="4" numFmtId="0" xfId="0" applyAlignment="1" applyBorder="1" applyFont="1">
      <alignment horizontal="center" shrinkToFit="0" textRotation="90" vertical="center" wrapText="1"/>
    </xf>
    <xf borderId="42" fillId="5" fontId="4" numFmtId="0" xfId="0" applyAlignment="1" applyBorder="1" applyFont="1">
      <alignment horizontal="center" vertical="center"/>
    </xf>
    <xf borderId="42" fillId="5" fontId="4" numFmtId="165" xfId="0" applyAlignment="1" applyBorder="1" applyFont="1" applyNumberFormat="1">
      <alignment horizontal="left" readingOrder="0" vertical="center"/>
    </xf>
    <xf borderId="46" fillId="8" fontId="9" numFmtId="0" xfId="0" applyAlignment="1" applyBorder="1" applyFont="1">
      <alignment horizontal="center" readingOrder="0" vertical="center"/>
    </xf>
    <xf borderId="46" fillId="11" fontId="9" numFmtId="0" xfId="0" applyAlignment="1" applyBorder="1" applyFont="1">
      <alignment horizontal="center" readingOrder="0" vertical="center"/>
    </xf>
    <xf borderId="46" fillId="12" fontId="9" numFmtId="0" xfId="0" applyAlignment="1" applyBorder="1" applyFont="1">
      <alignment horizontal="center" readingOrder="0" vertical="center"/>
    </xf>
    <xf borderId="46" fillId="7" fontId="9" numFmtId="0" xfId="0" applyAlignment="1" applyBorder="1" applyFont="1">
      <alignment horizontal="center" readingOrder="0" vertical="center"/>
    </xf>
    <xf borderId="42" fillId="6" fontId="4" numFmtId="0" xfId="0" applyAlignment="1" applyBorder="1" applyFont="1">
      <alignment horizontal="center" readingOrder="0" vertical="center"/>
    </xf>
    <xf borderId="42" fillId="13" fontId="4" numFmtId="0" xfId="0" applyAlignment="1" applyBorder="1" applyFont="1">
      <alignment horizontal="center" vertical="center"/>
    </xf>
    <xf borderId="0" fillId="0" fontId="10" numFmtId="3" xfId="0" applyFont="1" applyNumberFormat="1"/>
    <xf borderId="42" fillId="13" fontId="4" numFmtId="0" xfId="0" applyAlignment="1" applyBorder="1" applyFont="1">
      <alignment horizontal="center" readingOrder="0" vertical="center"/>
    </xf>
    <xf borderId="42" fillId="0" fontId="6" numFmtId="3" xfId="0" applyAlignment="1" applyBorder="1" applyFont="1" applyNumberFormat="1">
      <alignment horizontal="center" vertical="center"/>
    </xf>
    <xf borderId="39" fillId="5" fontId="11" numFmtId="0" xfId="0" applyAlignment="1" applyBorder="1" applyFont="1">
      <alignment horizontal="center" shrinkToFit="0" textRotation="90" vertical="center" wrapText="1"/>
    </xf>
    <xf borderId="42" fillId="0" fontId="4" numFmtId="3" xfId="0" applyAlignment="1" applyBorder="1" applyFont="1" applyNumberFormat="1">
      <alignment readingOrder="0" vertical="center"/>
    </xf>
    <xf borderId="42" fillId="5" fontId="6" numFmtId="3" xfId="0" applyAlignment="1" applyBorder="1" applyFont="1" applyNumberFormat="1">
      <alignment horizontal="center" readingOrder="0" vertical="center"/>
    </xf>
    <xf borderId="0" fillId="0" fontId="4" numFmtId="0" xfId="0" applyAlignment="1" applyFont="1">
      <alignment vertical="center"/>
    </xf>
    <xf borderId="42" fillId="9" fontId="6" numFmtId="167" xfId="0" applyAlignment="1" applyBorder="1" applyFont="1" applyNumberFormat="1">
      <alignment horizontal="center" shrinkToFit="0" vertical="center" wrapText="1"/>
    </xf>
    <xf borderId="49" fillId="5" fontId="4" numFmtId="0" xfId="0" applyAlignment="1" applyBorder="1" applyFont="1">
      <alignment horizontal="center" readingOrder="0" shrinkToFit="0" textRotation="90" vertical="center" wrapText="1"/>
    </xf>
    <xf borderId="0" fillId="0" fontId="6" numFmtId="167" xfId="0" applyFont="1" applyNumberFormat="1"/>
    <xf borderId="49" fillId="8" fontId="4" numFmtId="9" xfId="0" applyAlignment="1" applyBorder="1" applyFont="1" applyNumberFormat="1">
      <alignment horizontal="center" readingOrder="0" shrinkToFit="0" vertical="center" wrapText="1"/>
    </xf>
    <xf borderId="49" fillId="11" fontId="4" numFmtId="9" xfId="0" applyAlignment="1" applyBorder="1" applyFont="1" applyNumberFormat="1">
      <alignment horizontal="center" readingOrder="0" shrinkToFit="0" vertical="center" wrapText="1"/>
    </xf>
    <xf borderId="49" fillId="12" fontId="4" numFmtId="9" xfId="0" applyAlignment="1" applyBorder="1" applyFont="1" applyNumberFormat="1">
      <alignment horizontal="center" readingOrder="0" shrinkToFit="0" vertical="center" wrapText="1"/>
    </xf>
    <xf borderId="49" fillId="7" fontId="4" numFmtId="9" xfId="0" applyAlignment="1" applyBorder="1" applyFont="1" applyNumberFormat="1">
      <alignment horizontal="center" readingOrder="0" shrinkToFit="0" vertical="center" wrapText="1"/>
    </xf>
    <xf borderId="49" fillId="6" fontId="4" numFmtId="9" xfId="0" applyAlignment="1" applyBorder="1" applyFont="1" applyNumberFormat="1">
      <alignment horizontal="center" readingOrder="0" shrinkToFit="0" vertical="center" wrapText="1"/>
    </xf>
    <xf borderId="49" fillId="14" fontId="4" numFmtId="9" xfId="0" applyAlignment="1" applyBorder="1" applyFont="1" applyNumberFormat="1">
      <alignment horizontal="center" shrinkToFit="0" vertical="center" wrapText="1"/>
    </xf>
    <xf borderId="0" fillId="0" fontId="4" numFmtId="3" xfId="0" applyAlignment="1" applyFont="1" applyNumberFormat="1">
      <alignment readingOrder="0" shrinkToFit="0" vertical="center" wrapText="1"/>
    </xf>
    <xf borderId="42" fillId="14" fontId="4" numFmtId="3" xfId="0" applyAlignment="1" applyBorder="1" applyFont="1" applyNumberFormat="1">
      <alignment horizontal="center" shrinkToFit="0" wrapText="1"/>
    </xf>
    <xf borderId="42" fillId="14" fontId="4" numFmtId="3" xfId="0" applyAlignment="1" applyBorder="1" applyFont="1" applyNumberFormat="1">
      <alignment horizontal="center" shrinkToFit="0" vertical="center" wrapText="1"/>
    </xf>
    <xf borderId="9" fillId="0" fontId="6" numFmtId="164" xfId="0" applyAlignment="1" applyBorder="1" applyFont="1" applyNumberFormat="1">
      <alignment horizontal="center" vertical="center"/>
    </xf>
    <xf borderId="0" fillId="0" fontId="6" numFmtId="164" xfId="0" applyAlignment="1" applyFont="1" applyNumberFormat="1">
      <alignment horizontal="center" vertical="center"/>
    </xf>
    <xf borderId="0" fillId="0" fontId="6" numFmtId="0" xfId="0" applyAlignment="1" applyFont="1">
      <alignment horizontal="center" vertical="center"/>
    </xf>
    <xf borderId="56" fillId="0" fontId="11" numFmtId="0" xfId="0" applyAlignment="1" applyBorder="1" applyFont="1">
      <alignment horizontal="center" vertical="center"/>
    </xf>
    <xf borderId="9" fillId="0" fontId="3" numFmtId="0" xfId="0" applyBorder="1" applyFont="1"/>
    <xf borderId="57" fillId="0" fontId="3" numFmtId="0" xfId="0" applyBorder="1" applyFont="1"/>
    <xf borderId="9" fillId="0" fontId="11" numFmtId="0" xfId="0" applyAlignment="1" applyBorder="1" applyFont="1">
      <alignment horizontal="center" vertical="center"/>
    </xf>
    <xf borderId="46" fillId="5" fontId="6" numFmtId="0" xfId="0" applyAlignment="1" applyBorder="1" applyFont="1">
      <alignment horizontal="center" vertical="center"/>
    </xf>
    <xf borderId="57" fillId="5" fontId="6" numFmtId="0" xfId="0" applyAlignment="1" applyBorder="1" applyFont="1">
      <alignment horizontal="center" vertical="center"/>
    </xf>
    <xf borderId="46" fillId="9" fontId="6" numFmtId="167" xfId="0" applyAlignment="1" applyBorder="1" applyFont="1" applyNumberFormat="1">
      <alignment horizontal="center" readingOrder="0" shrinkToFit="0" vertical="center" wrapText="1"/>
    </xf>
    <xf borderId="42" fillId="8" fontId="6" numFmtId="167" xfId="0" applyAlignment="1" applyBorder="1" applyFont="1" applyNumberFormat="1">
      <alignment horizontal="center" shrinkToFit="0" vertical="center" wrapText="1"/>
    </xf>
    <xf borderId="46" fillId="0" fontId="6" numFmtId="167" xfId="0" applyAlignment="1" applyBorder="1" applyFont="1" applyNumberFormat="1">
      <alignment horizontal="center" readingOrder="0" vertical="center"/>
    </xf>
    <xf borderId="57" fillId="0" fontId="6" numFmtId="167" xfId="0" applyAlignment="1" applyBorder="1" applyFont="1" applyNumberFormat="1">
      <alignment horizontal="center" readingOrder="0" vertical="center"/>
    </xf>
    <xf borderId="0" fillId="0" fontId="4" numFmtId="0" xfId="0" applyAlignment="1" applyFont="1">
      <alignment readingOrder="0" shrinkToFit="0" vertical="center" wrapText="1"/>
    </xf>
    <xf borderId="46" fillId="9" fontId="6" numFmtId="167" xfId="0" applyAlignment="1" applyBorder="1" applyFont="1" applyNumberFormat="1">
      <alignment horizontal="center" shrinkToFit="0" vertical="center" wrapText="1"/>
    </xf>
    <xf borderId="57" fillId="9" fontId="6" numFmtId="167" xfId="0" applyAlignment="1" applyBorder="1" applyFont="1" applyNumberFormat="1">
      <alignment horizontal="center" shrinkToFit="0" vertical="center" wrapText="1"/>
    </xf>
    <xf borderId="46" fillId="9" fontId="6" numFmtId="167" xfId="0" applyAlignment="1" applyBorder="1" applyFont="1" applyNumberFormat="1">
      <alignment horizontal="center" readingOrder="0" vertical="center"/>
    </xf>
    <xf borderId="46" fillId="9" fontId="6" numFmtId="3" xfId="0" applyAlignment="1" applyBorder="1" applyFont="1" applyNumberFormat="1">
      <alignment horizontal="center" readingOrder="0" shrinkToFit="0" vertical="center" wrapText="1"/>
    </xf>
    <xf borderId="42" fillId="8" fontId="6" numFmtId="3" xfId="0" applyAlignment="1" applyBorder="1" applyFont="1" applyNumberFormat="1">
      <alignment horizontal="center" shrinkToFit="0" vertical="center" wrapText="1"/>
    </xf>
    <xf borderId="46" fillId="0" fontId="6" numFmtId="3" xfId="0" applyAlignment="1" applyBorder="1" applyFont="1" applyNumberFormat="1">
      <alignment horizontal="center" readingOrder="0" vertical="center"/>
    </xf>
    <xf borderId="57" fillId="0" fontId="6" numFmtId="3" xfId="0" applyAlignment="1" applyBorder="1" applyFont="1" applyNumberFormat="1">
      <alignment horizontal="center" readingOrder="0" vertical="center"/>
    </xf>
    <xf borderId="46" fillId="0" fontId="6" numFmtId="3" xfId="0" applyAlignment="1" applyBorder="1" applyFont="1" applyNumberFormat="1">
      <alignment horizontal="center" vertical="center"/>
    </xf>
    <xf borderId="0" fillId="0" fontId="6" numFmtId="167" xfId="0" applyAlignment="1" applyFont="1" applyNumberFormat="1">
      <alignment horizontal="center" vertical="center"/>
    </xf>
    <xf borderId="0" fillId="0" fontId="6" numFmtId="9" xfId="0" applyAlignment="1" applyFont="1" applyNumberFormat="1">
      <alignment horizontal="center" vertical="center"/>
    </xf>
    <xf borderId="42" fillId="5" fontId="6" numFmtId="165" xfId="0" applyAlignment="1" applyBorder="1" applyFont="1" applyNumberFormat="1">
      <alignment horizontal="center" readingOrder="0" vertical="center"/>
    </xf>
    <xf borderId="42" fillId="5" fontId="6" numFmtId="165" xfId="0" applyAlignment="1" applyBorder="1" applyFont="1" applyNumberFormat="1">
      <alignment horizontal="center" vertical="center"/>
    </xf>
    <xf borderId="42" fillId="5" fontId="6" numFmtId="0" xfId="0" applyAlignment="1" applyBorder="1" applyFont="1">
      <alignment horizontal="center" readingOrder="0" shrinkToFit="0" vertical="center" wrapText="1"/>
    </xf>
    <xf borderId="42" fillId="0" fontId="6" numFmtId="167" xfId="0" applyAlignment="1" applyBorder="1" applyFont="1" applyNumberFormat="1">
      <alignment horizontal="center" shrinkToFit="0" vertical="center" wrapText="1"/>
    </xf>
    <xf borderId="0" fillId="0" fontId="10" numFmtId="0" xfId="0" applyAlignment="1" applyFont="1">
      <alignment readingOrder="0" shrinkToFit="0" vertical="center" wrapText="1"/>
    </xf>
    <xf borderId="49" fillId="0" fontId="4" numFmtId="3" xfId="0" applyAlignment="1" applyBorder="1" applyFont="1" applyNumberFormat="1">
      <alignment readingOrder="0" shrinkToFit="0" vertical="center" wrapText="1"/>
    </xf>
    <xf borderId="42" fillId="9" fontId="6" numFmtId="3" xfId="0" applyAlignment="1" applyBorder="1" applyFont="1" applyNumberFormat="1">
      <alignment horizontal="center" shrinkToFit="0" vertical="center" wrapText="1"/>
    </xf>
    <xf borderId="9" fillId="0" fontId="13" numFmtId="164" xfId="0" applyAlignment="1" applyBorder="1" applyFont="1" applyNumberFormat="1">
      <alignment vertical="bottom"/>
    </xf>
    <xf borderId="56" fillId="0" fontId="14" numFmtId="0" xfId="0" applyAlignment="1" applyBorder="1" applyFont="1">
      <alignment horizontal="center"/>
    </xf>
    <xf borderId="9" fillId="0" fontId="14" numFmtId="0" xfId="0" applyAlignment="1" applyBorder="1" applyFont="1">
      <alignment horizontal="center"/>
    </xf>
    <xf borderId="46" fillId="5" fontId="15" numFmtId="0" xfId="0" applyAlignment="1" applyBorder="1" applyFont="1">
      <alignment horizontal="center"/>
    </xf>
    <xf borderId="57" fillId="5" fontId="15" numFmtId="0" xfId="0" applyAlignment="1" applyBorder="1" applyFont="1">
      <alignment horizontal="center"/>
    </xf>
    <xf borderId="46" fillId="9" fontId="15" numFmtId="167" xfId="0" applyAlignment="1" applyBorder="1" applyFont="1" applyNumberFormat="1">
      <alignment horizontal="center" shrinkToFit="0" wrapText="1"/>
    </xf>
    <xf borderId="57" fillId="9" fontId="15" numFmtId="167" xfId="0" applyAlignment="1" applyBorder="1" applyFont="1" applyNumberFormat="1">
      <alignment horizontal="center" shrinkToFit="0" wrapText="1"/>
    </xf>
    <xf borderId="42" fillId="8" fontId="15" numFmtId="167" xfId="0" applyAlignment="1" applyBorder="1" applyFont="1" applyNumberFormat="1">
      <alignment horizontal="center" shrinkToFit="0" wrapText="1"/>
    </xf>
    <xf borderId="46" fillId="0" fontId="13" numFmtId="167" xfId="0" applyBorder="1" applyFont="1" applyNumberFormat="1"/>
    <xf borderId="57" fillId="0" fontId="13" numFmtId="167" xfId="0" applyBorder="1" applyFont="1" applyNumberFormat="1"/>
    <xf borderId="0" fillId="0" fontId="4" numFmtId="3" xfId="0" applyAlignment="1" applyFont="1" applyNumberFormat="1">
      <alignment horizontal="center" vertical="center"/>
    </xf>
    <xf borderId="42" fillId="0" fontId="4" numFmtId="3" xfId="0" applyAlignment="1" applyBorder="1" applyFont="1" applyNumberFormat="1">
      <alignment horizontal="center" readingOrder="0" shrinkToFit="0" vertical="center" wrapText="1"/>
    </xf>
    <xf borderId="0" fillId="0" fontId="6" numFmtId="3" xfId="0" applyAlignment="1" applyFont="1" applyNumberFormat="1">
      <alignment horizontal="center" vertical="center"/>
    </xf>
    <xf borderId="42" fillId="14" fontId="4" numFmtId="3" xfId="0" applyAlignment="1" applyBorder="1" applyFont="1" applyNumberFormat="1">
      <alignment horizontal="center" readingOrder="0" vertical="center"/>
    </xf>
    <xf borderId="42" fillId="14" fontId="4" numFmtId="3" xfId="0" applyAlignment="1" applyBorder="1" applyFont="1" applyNumberFormat="1">
      <alignment horizontal="center"/>
    </xf>
    <xf borderId="41" fillId="14" fontId="4" numFmtId="3" xfId="0" applyAlignment="1" applyBorder="1" applyFont="1" applyNumberFormat="1">
      <alignment horizontal="center"/>
    </xf>
    <xf borderId="0" fillId="0" fontId="13" numFmtId="167" xfId="0" applyAlignment="1" applyFont="1" applyNumberFormat="1">
      <alignment vertical="bottom"/>
    </xf>
    <xf borderId="0" fillId="0" fontId="10" numFmtId="0" xfId="0" applyFont="1"/>
    <xf borderId="42" fillId="0" fontId="4" numFmtId="3" xfId="0" applyAlignment="1" applyBorder="1" applyFont="1" applyNumberFormat="1">
      <alignment horizontal="center" readingOrder="0" vertical="center"/>
    </xf>
    <xf borderId="49" fillId="5" fontId="4" numFmtId="3" xfId="0" applyAlignment="1" applyBorder="1" applyFont="1" applyNumberFormat="1">
      <alignment horizontal="center" shrinkToFit="0" textRotation="90" vertical="center" wrapText="1"/>
    </xf>
    <xf borderId="49" fillId="0" fontId="4" numFmtId="3" xfId="0" applyAlignment="1" applyBorder="1" applyFont="1" applyNumberFormat="1">
      <alignment horizontal="center" shrinkToFit="0" vertical="center" wrapText="1"/>
    </xf>
    <xf borderId="49" fillId="0" fontId="4" numFmtId="3" xfId="0" applyAlignment="1" applyBorder="1" applyFont="1" applyNumberFormat="1">
      <alignment horizontal="left" shrinkToFit="0" vertical="center" wrapText="1"/>
    </xf>
    <xf borderId="49" fillId="5" fontId="4" numFmtId="0" xfId="0" applyAlignment="1" applyBorder="1" applyFont="1">
      <alignment horizontal="center" shrinkToFit="0" textRotation="90" vertical="center" wrapText="1"/>
    </xf>
    <xf borderId="0" fillId="0" fontId="4" numFmtId="166" xfId="0" applyAlignment="1" applyFont="1" applyNumberFormat="1">
      <alignment vertical="center"/>
    </xf>
    <xf borderId="0" fillId="0" fontId="4" numFmtId="167" xfId="0" applyAlignment="1" applyFont="1" applyNumberForma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outlineLevelCol="4"/>
  <cols>
    <col customWidth="1" min="1" max="1" width="3.38"/>
    <col customWidth="1" min="3" max="3" width="21.0"/>
    <col customWidth="1" min="9" max="9" width="3.88"/>
  </cols>
  <sheetData>
    <row r="1">
      <c r="A1" s="1"/>
      <c r="B1" s="1"/>
      <c r="C1" s="1"/>
      <c r="D1" s="1"/>
      <c r="E1" s="1"/>
      <c r="F1" s="1"/>
      <c r="G1" s="1"/>
      <c r="H1" s="1"/>
      <c r="I1" s="1"/>
    </row>
    <row r="2" ht="20.25" customHeight="1">
      <c r="A2" s="1"/>
      <c r="B2" s="3" t="s">
        <v>0</v>
      </c>
      <c r="C2" s="4"/>
      <c r="D2" s="4"/>
      <c r="E2" s="4"/>
      <c r="F2" s="4"/>
      <c r="G2" s="4"/>
      <c r="H2" s="7"/>
      <c r="I2" s="1"/>
    </row>
    <row r="3" ht="26.25" customHeight="1">
      <c r="A3" s="1"/>
      <c r="B3" s="10" t="s">
        <v>1</v>
      </c>
      <c r="C3" s="12"/>
      <c r="D3" s="14" t="s">
        <v>2</v>
      </c>
      <c r="E3" s="16"/>
      <c r="F3" s="16"/>
      <c r="G3" s="16"/>
      <c r="H3" s="17"/>
      <c r="I3" s="1"/>
    </row>
    <row r="4" ht="20.25" customHeight="1">
      <c r="A4" s="1"/>
      <c r="B4" s="20" t="s">
        <v>3</v>
      </c>
      <c r="C4" s="21"/>
      <c r="D4" s="22" t="s">
        <v>5</v>
      </c>
      <c r="E4" s="23"/>
      <c r="F4" s="23"/>
      <c r="G4" s="23"/>
      <c r="H4" s="25"/>
      <c r="I4" s="1"/>
    </row>
    <row r="5" ht="20.25" customHeight="1">
      <c r="A5" s="1"/>
      <c r="B5" s="27"/>
      <c r="C5" s="28"/>
      <c r="D5" s="29"/>
      <c r="H5" s="30"/>
      <c r="I5" s="1"/>
    </row>
    <row r="6" ht="20.25" customHeight="1">
      <c r="A6" s="1"/>
      <c r="B6" s="27"/>
      <c r="C6" s="28"/>
      <c r="D6" s="29"/>
      <c r="H6" s="30"/>
      <c r="I6" s="1"/>
    </row>
    <row r="7" ht="20.25" customHeight="1">
      <c r="A7" s="1"/>
      <c r="B7" s="27"/>
      <c r="C7" s="28"/>
      <c r="D7" s="29"/>
      <c r="H7" s="30"/>
      <c r="I7" s="1"/>
    </row>
    <row r="8" ht="20.25" customHeight="1">
      <c r="A8" s="1"/>
      <c r="B8" s="27"/>
      <c r="C8" s="28"/>
      <c r="D8" s="29"/>
      <c r="H8" s="30"/>
      <c r="I8" s="1"/>
    </row>
    <row r="9" ht="20.25" customHeight="1">
      <c r="A9" s="1"/>
      <c r="B9" s="27"/>
      <c r="C9" s="28"/>
      <c r="D9" s="29"/>
      <c r="H9" s="30"/>
      <c r="I9" s="1"/>
    </row>
    <row r="10" ht="20.25" customHeight="1">
      <c r="A10" s="1"/>
      <c r="B10" s="27"/>
      <c r="C10" s="28"/>
      <c r="D10" s="29"/>
      <c r="H10" s="30"/>
      <c r="I10" s="1"/>
    </row>
    <row r="11" ht="20.25" customHeight="1">
      <c r="A11" s="1"/>
      <c r="B11" s="32"/>
      <c r="C11" s="33"/>
      <c r="D11" s="34"/>
      <c r="E11" s="35"/>
      <c r="F11" s="35"/>
      <c r="G11" s="35"/>
      <c r="H11" s="36"/>
      <c r="I11" s="1"/>
    </row>
    <row r="12" ht="22.5" customHeight="1">
      <c r="A12" s="1"/>
      <c r="B12" s="40" t="s">
        <v>8</v>
      </c>
      <c r="C12" s="21"/>
      <c r="D12" s="22" t="s">
        <v>9</v>
      </c>
      <c r="E12" s="23"/>
      <c r="F12" s="23"/>
      <c r="G12" s="23"/>
      <c r="H12" s="25"/>
      <c r="I12" s="1"/>
    </row>
    <row r="13" ht="22.5" customHeight="1">
      <c r="A13" s="1"/>
      <c r="B13" s="27"/>
      <c r="C13" s="28"/>
      <c r="D13" s="29"/>
      <c r="H13" s="30"/>
      <c r="I13" s="1"/>
    </row>
    <row r="14" ht="22.5" customHeight="1">
      <c r="A14" s="1"/>
      <c r="B14" s="27"/>
      <c r="C14" s="28"/>
      <c r="D14" s="29"/>
      <c r="H14" s="30"/>
      <c r="I14" s="1"/>
    </row>
    <row r="15" ht="22.5" customHeight="1">
      <c r="A15" s="1"/>
      <c r="B15" s="27"/>
      <c r="C15" s="28"/>
      <c r="D15" s="29"/>
      <c r="H15" s="30"/>
      <c r="I15" s="1"/>
    </row>
    <row r="16" ht="22.5" customHeight="1">
      <c r="A16" s="1"/>
      <c r="B16" s="27"/>
      <c r="C16" s="28"/>
      <c r="D16" s="29"/>
      <c r="H16" s="30"/>
      <c r="I16" s="1"/>
    </row>
    <row r="17" ht="22.5" customHeight="1">
      <c r="A17" s="1"/>
      <c r="B17" s="27"/>
      <c r="C17" s="28"/>
      <c r="D17" s="29"/>
      <c r="H17" s="30"/>
      <c r="I17" s="1"/>
    </row>
    <row r="18" ht="22.5" customHeight="1">
      <c r="A18" s="1"/>
      <c r="B18" s="27"/>
      <c r="C18" s="28"/>
      <c r="D18" s="29"/>
      <c r="H18" s="30"/>
      <c r="I18" s="1"/>
    </row>
    <row r="19" ht="22.5" customHeight="1">
      <c r="A19" s="1"/>
      <c r="B19" s="46"/>
      <c r="C19" s="47"/>
      <c r="D19" s="48"/>
      <c r="E19" s="50"/>
      <c r="F19" s="50"/>
      <c r="G19" s="50"/>
      <c r="H19" s="51"/>
      <c r="I19" s="1"/>
    </row>
    <row r="20">
      <c r="A20" s="1"/>
      <c r="B20" s="1"/>
      <c r="C20" s="1"/>
      <c r="D20" s="1"/>
      <c r="E20" s="1"/>
      <c r="F20" s="1"/>
      <c r="G20" s="1"/>
      <c r="H20" s="1"/>
      <c r="I20" s="1"/>
    </row>
  </sheetData>
  <mergeCells count="7">
    <mergeCell ref="B2:H2"/>
    <mergeCell ref="B3:C3"/>
    <mergeCell ref="D3:H3"/>
    <mergeCell ref="B4:C11"/>
    <mergeCell ref="D4:H11"/>
    <mergeCell ref="B12:C19"/>
    <mergeCell ref="D12:H1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pageSetUpPr fitToPage="1"/>
  </sheetPr>
  <sheetViews>
    <sheetView showGridLines="0" workbookViewId="0"/>
  </sheetViews>
  <sheetFormatPr customHeight="1" defaultColWidth="12.63" defaultRowHeight="15.0" outlineLevelCol="4"/>
  <cols>
    <col customWidth="1" min="1" max="2" width="2.75"/>
    <col customWidth="1" min="3" max="3" width="5.63"/>
    <col customWidth="1" min="4" max="4" width="4.63"/>
    <col customWidth="1" min="5" max="5" width="21.75"/>
    <col customWidth="1" min="6" max="6" width="5.13"/>
    <col customWidth="1" min="7" max="14" width="12.63"/>
    <col customWidth="1" min="15" max="16" width="2.75"/>
  </cols>
  <sheetData>
    <row r="1" ht="15.75" customHeight="1">
      <c r="A1" s="2"/>
      <c r="B1" s="5"/>
      <c r="C1" s="6"/>
      <c r="D1" s="6"/>
      <c r="E1" s="6"/>
      <c r="F1" s="8"/>
      <c r="G1" s="9"/>
      <c r="H1" s="11"/>
      <c r="I1" s="11"/>
      <c r="J1" s="11"/>
      <c r="K1" s="11"/>
      <c r="L1" s="11"/>
      <c r="M1" s="11"/>
      <c r="N1" s="11"/>
      <c r="O1" s="11"/>
      <c r="P1" s="11"/>
    </row>
    <row r="2" ht="15.75" customHeight="1">
      <c r="A2" s="5"/>
      <c r="B2" s="5"/>
      <c r="C2" s="6"/>
      <c r="D2" s="6"/>
      <c r="E2" s="19" t="s">
        <v>4</v>
      </c>
      <c r="F2" s="24" t="s">
        <v>6</v>
      </c>
      <c r="G2" s="26"/>
      <c r="H2" s="11"/>
      <c r="I2" s="11"/>
      <c r="J2" s="11"/>
      <c r="K2" s="11"/>
      <c r="L2" s="11"/>
      <c r="M2" s="11"/>
      <c r="N2" s="11"/>
      <c r="O2" s="11"/>
      <c r="P2" s="11"/>
    </row>
    <row r="3" ht="15.75" customHeight="1">
      <c r="A3" s="5"/>
      <c r="B3" s="5"/>
      <c r="C3" s="6"/>
      <c r="D3" s="6"/>
      <c r="E3" s="6"/>
      <c r="F3" s="8"/>
      <c r="G3" s="9"/>
      <c r="H3" s="31"/>
      <c r="I3" s="31"/>
      <c r="J3" s="31"/>
      <c r="K3" s="11"/>
      <c r="L3" s="11"/>
      <c r="M3" s="11"/>
      <c r="N3" s="11"/>
      <c r="O3" s="11"/>
      <c r="P3" s="11"/>
    </row>
    <row r="4">
      <c r="A4" s="5"/>
      <c r="B4" s="5"/>
      <c r="C4" s="37"/>
      <c r="D4" s="38"/>
      <c r="E4" s="39" t="s">
        <v>7</v>
      </c>
      <c r="F4" s="41"/>
      <c r="G4" s="42" t="s">
        <v>10</v>
      </c>
      <c r="H4" s="39" t="s">
        <v>11</v>
      </c>
      <c r="I4" s="43" t="s">
        <v>12</v>
      </c>
      <c r="J4" s="43" t="s">
        <v>13</v>
      </c>
      <c r="K4" s="43" t="s">
        <v>14</v>
      </c>
      <c r="L4" s="43" t="s">
        <v>15</v>
      </c>
      <c r="M4" s="44" t="s">
        <v>16</v>
      </c>
      <c r="N4" s="45"/>
      <c r="O4" s="11"/>
      <c r="P4" s="11"/>
    </row>
    <row r="5" ht="15.75" customHeight="1">
      <c r="A5" s="11"/>
      <c r="B5" s="11"/>
      <c r="C5" s="49" t="s">
        <v>17</v>
      </c>
      <c r="D5" s="52">
        <v>1.0</v>
      </c>
      <c r="E5" s="53" t="s">
        <v>18</v>
      </c>
      <c r="F5" s="54" t="s">
        <v>19</v>
      </c>
      <c r="G5" s="55">
        <f t="array" ref="G5:G31">INDEX(Metrika!G8:GZ532, , MATCH(F2, Metrika!$G$7:$GZ$7, 0))</f>
        <v>21000</v>
      </c>
      <c r="H5" s="60">
        <f>IFERROR(G6/G5,"")</f>
        <v>0.9976190476</v>
      </c>
      <c r="I5" s="62">
        <v>0.2</v>
      </c>
      <c r="J5" s="60">
        <f>H5*I5</f>
        <v>0.1995238095</v>
      </c>
      <c r="K5" s="60">
        <f>SUM(J5:J10)</f>
        <v>0.8923809524</v>
      </c>
      <c r="L5" s="62">
        <v>0.2</v>
      </c>
      <c r="M5" s="70">
        <f>K5*L5</f>
        <v>0.1784761905</v>
      </c>
      <c r="N5" s="73">
        <f>SUM(M5:M30)</f>
        <v>0.7322442602</v>
      </c>
      <c r="O5" s="74"/>
      <c r="P5" s="74"/>
    </row>
    <row r="6" ht="15.75" customHeight="1">
      <c r="A6" s="11"/>
      <c r="B6" s="11"/>
      <c r="C6" s="77"/>
      <c r="D6" s="78"/>
      <c r="E6" s="78"/>
      <c r="F6" s="80" t="s">
        <v>26</v>
      </c>
      <c r="G6" s="81">
        <v>20950.0</v>
      </c>
      <c r="H6" s="78"/>
      <c r="I6" s="78"/>
      <c r="J6" s="78"/>
      <c r="K6" s="82"/>
      <c r="L6" s="82"/>
      <c r="M6" s="83"/>
      <c r="N6" s="84"/>
      <c r="O6" s="74"/>
      <c r="P6" s="74"/>
    </row>
    <row r="7" ht="15.75" customHeight="1">
      <c r="A7" s="11"/>
      <c r="B7" s="11"/>
      <c r="C7" s="77"/>
      <c r="D7" s="87">
        <v>2.0</v>
      </c>
      <c r="E7" s="91" t="s">
        <v>40</v>
      </c>
      <c r="F7" s="80" t="s">
        <v>19</v>
      </c>
      <c r="G7" s="93">
        <v>4200.0</v>
      </c>
      <c r="H7" s="96">
        <f>IFERROR(G8/G7,"")</f>
        <v>0.9166666667</v>
      </c>
      <c r="I7" s="97">
        <v>0.3</v>
      </c>
      <c r="J7" s="96">
        <f>H7*I7</f>
        <v>0.275</v>
      </c>
      <c r="K7" s="82"/>
      <c r="L7" s="82"/>
      <c r="M7" s="83"/>
      <c r="N7" s="84"/>
      <c r="O7" s="74"/>
      <c r="P7" s="74"/>
    </row>
    <row r="8" ht="15.75" customHeight="1">
      <c r="A8" s="11"/>
      <c r="B8" s="11"/>
      <c r="C8" s="77"/>
      <c r="D8" s="78"/>
      <c r="E8" s="78"/>
      <c r="F8" s="80" t="s">
        <v>26</v>
      </c>
      <c r="G8" s="99">
        <v>3850.0</v>
      </c>
      <c r="H8" s="78"/>
      <c r="I8" s="78"/>
      <c r="J8" s="78"/>
      <c r="K8" s="82"/>
      <c r="L8" s="82"/>
      <c r="M8" s="83"/>
      <c r="N8" s="84"/>
      <c r="O8" s="74"/>
      <c r="P8" s="74"/>
    </row>
    <row r="9" ht="15.75" customHeight="1">
      <c r="A9" s="11"/>
      <c r="B9" s="11"/>
      <c r="C9" s="77"/>
      <c r="D9" s="87">
        <v>3.0</v>
      </c>
      <c r="E9" s="102" t="s">
        <v>42</v>
      </c>
      <c r="F9" s="80" t="s">
        <v>19</v>
      </c>
      <c r="G9" s="93">
        <v>840.0</v>
      </c>
      <c r="H9" s="96">
        <f>IFERROR(G10/G9,"")</f>
        <v>0.8357142857</v>
      </c>
      <c r="I9" s="97">
        <v>0.5</v>
      </c>
      <c r="J9" s="96">
        <f>H9*I9</f>
        <v>0.4178571429</v>
      </c>
      <c r="K9" s="82"/>
      <c r="L9" s="82"/>
      <c r="M9" s="83"/>
      <c r="N9" s="84"/>
      <c r="O9" s="74"/>
      <c r="P9" s="74"/>
    </row>
    <row r="10" ht="15.75" customHeight="1">
      <c r="A10" s="11"/>
      <c r="B10" s="11"/>
      <c r="C10" s="104"/>
      <c r="D10" s="105"/>
      <c r="E10" s="105"/>
      <c r="F10" s="106" t="s">
        <v>26</v>
      </c>
      <c r="G10" s="107">
        <v>702.0</v>
      </c>
      <c r="H10" s="105"/>
      <c r="I10" s="105"/>
      <c r="J10" s="105"/>
      <c r="K10" s="105"/>
      <c r="L10" s="105"/>
      <c r="M10" s="108"/>
      <c r="N10" s="84"/>
      <c r="O10" s="74"/>
      <c r="P10" s="74"/>
    </row>
    <row r="11" ht="15.75" customHeight="1">
      <c r="A11" s="11"/>
      <c r="B11" s="11"/>
      <c r="C11" s="49" t="s">
        <v>44</v>
      </c>
      <c r="D11" s="52">
        <v>1.0</v>
      </c>
      <c r="E11" s="53" t="s">
        <v>46</v>
      </c>
      <c r="F11" s="54" t="s">
        <v>19</v>
      </c>
      <c r="G11" s="55">
        <v>588.0</v>
      </c>
      <c r="H11" s="60">
        <f>IFERROR(G12/G11,"")</f>
        <v>0.7891156463</v>
      </c>
      <c r="I11" s="62">
        <v>0.2</v>
      </c>
      <c r="J11" s="60">
        <f>H11*I11</f>
        <v>0.1578231293</v>
      </c>
      <c r="K11" s="60">
        <f>SUM(J11:J16)</f>
        <v>0.726037415</v>
      </c>
      <c r="L11" s="62">
        <v>0.3</v>
      </c>
      <c r="M11" s="70">
        <f>K11*L11</f>
        <v>0.2178112245</v>
      </c>
      <c r="N11" s="84"/>
      <c r="O11" s="74"/>
      <c r="P11" s="74"/>
    </row>
    <row r="12" ht="15.75" customHeight="1">
      <c r="A12" s="11"/>
      <c r="B12" s="11"/>
      <c r="C12" s="77"/>
      <c r="D12" s="78"/>
      <c r="E12" s="78"/>
      <c r="F12" s="80" t="s">
        <v>26</v>
      </c>
      <c r="G12" s="99">
        <v>464.0</v>
      </c>
      <c r="H12" s="78"/>
      <c r="I12" s="78"/>
      <c r="J12" s="78"/>
      <c r="K12" s="82"/>
      <c r="L12" s="82"/>
      <c r="M12" s="83"/>
      <c r="N12" s="84"/>
      <c r="O12" s="74"/>
      <c r="P12" s="74"/>
    </row>
    <row r="13" ht="15.75" customHeight="1">
      <c r="A13" s="11"/>
      <c r="B13" s="11"/>
      <c r="C13" s="77"/>
      <c r="D13" s="87">
        <v>2.0</v>
      </c>
      <c r="E13" s="102" t="s">
        <v>52</v>
      </c>
      <c r="F13" s="80" t="s">
        <v>19</v>
      </c>
      <c r="G13" s="93">
        <v>420.0</v>
      </c>
      <c r="H13" s="96">
        <f>IFERROR(G14/G13,"")</f>
        <v>0.7928571429</v>
      </c>
      <c r="I13" s="97">
        <v>0.3</v>
      </c>
      <c r="J13" s="96">
        <f>H13*I13</f>
        <v>0.2378571429</v>
      </c>
      <c r="K13" s="82"/>
      <c r="L13" s="82"/>
      <c r="M13" s="83"/>
      <c r="N13" s="84"/>
      <c r="O13" s="74"/>
      <c r="P13" s="74"/>
    </row>
    <row r="14" ht="15.75" customHeight="1">
      <c r="A14" s="11"/>
      <c r="B14" s="11"/>
      <c r="C14" s="77"/>
      <c r="D14" s="78"/>
      <c r="E14" s="78"/>
      <c r="F14" s="80" t="s">
        <v>26</v>
      </c>
      <c r="G14" s="99">
        <v>333.0</v>
      </c>
      <c r="H14" s="78"/>
      <c r="I14" s="78"/>
      <c r="J14" s="78"/>
      <c r="K14" s="82"/>
      <c r="L14" s="82"/>
      <c r="M14" s="83"/>
      <c r="N14" s="84"/>
      <c r="O14" s="74"/>
      <c r="P14" s="74"/>
    </row>
    <row r="15" ht="15.75" customHeight="1">
      <c r="A15" s="11"/>
      <c r="B15" s="11"/>
      <c r="C15" s="77"/>
      <c r="D15" s="87">
        <v>3.0</v>
      </c>
      <c r="E15" s="102" t="s">
        <v>53</v>
      </c>
      <c r="F15" s="80" t="s">
        <v>19</v>
      </c>
      <c r="G15" s="93">
        <v>168.0</v>
      </c>
      <c r="H15" s="96">
        <f>IFERROR(G16/G15,"")</f>
        <v>0.6607142857</v>
      </c>
      <c r="I15" s="97">
        <v>0.5</v>
      </c>
      <c r="J15" s="96">
        <f>H15*I15</f>
        <v>0.3303571429</v>
      </c>
      <c r="K15" s="82"/>
      <c r="L15" s="82"/>
      <c r="M15" s="83"/>
      <c r="N15" s="84"/>
      <c r="O15" s="74"/>
      <c r="P15" s="74"/>
    </row>
    <row r="16" ht="15.75" customHeight="1">
      <c r="A16" s="11"/>
      <c r="B16" s="11"/>
      <c r="C16" s="104"/>
      <c r="D16" s="105"/>
      <c r="E16" s="105"/>
      <c r="F16" s="106" t="s">
        <v>26</v>
      </c>
      <c r="G16" s="107">
        <v>111.0</v>
      </c>
      <c r="H16" s="105"/>
      <c r="I16" s="105"/>
      <c r="J16" s="105"/>
      <c r="K16" s="105"/>
      <c r="L16" s="105"/>
      <c r="M16" s="108"/>
      <c r="N16" s="84"/>
      <c r="O16" s="74"/>
      <c r="P16" s="74"/>
    </row>
    <row r="17" ht="15.75" customHeight="1">
      <c r="A17" s="11"/>
      <c r="B17" s="11"/>
      <c r="C17" s="49" t="s">
        <v>54</v>
      </c>
      <c r="D17" s="52">
        <v>1.0</v>
      </c>
      <c r="E17" s="53" t="s">
        <v>55</v>
      </c>
      <c r="F17" s="54" t="s">
        <v>19</v>
      </c>
      <c r="G17" s="55">
        <v>504.0</v>
      </c>
      <c r="H17" s="60">
        <f>IFERROR(G18/G17,"")</f>
        <v>0.7757936508</v>
      </c>
      <c r="I17" s="62">
        <v>0.2</v>
      </c>
      <c r="J17" s="60">
        <f>H17*I17</f>
        <v>0.1551587302</v>
      </c>
      <c r="K17" s="60">
        <f>SUM(J17:J22)</f>
        <v>0.5899801587</v>
      </c>
      <c r="L17" s="62">
        <v>0.3</v>
      </c>
      <c r="M17" s="70">
        <f>K17*L17</f>
        <v>0.1769940476</v>
      </c>
      <c r="N17" s="84"/>
      <c r="O17" s="74"/>
      <c r="P17" s="74"/>
    </row>
    <row r="18" ht="15.75" customHeight="1">
      <c r="A18" s="11"/>
      <c r="B18" s="11"/>
      <c r="C18" s="77"/>
      <c r="D18" s="78"/>
      <c r="E18" s="78"/>
      <c r="F18" s="80" t="s">
        <v>26</v>
      </c>
      <c r="G18" s="99">
        <v>391.0</v>
      </c>
      <c r="H18" s="78"/>
      <c r="I18" s="78"/>
      <c r="J18" s="78"/>
      <c r="K18" s="82"/>
      <c r="L18" s="82"/>
      <c r="M18" s="83"/>
      <c r="N18" s="84"/>
      <c r="O18" s="74"/>
      <c r="P18" s="74"/>
    </row>
    <row r="19" ht="15.75" customHeight="1">
      <c r="A19" s="11"/>
      <c r="B19" s="11"/>
      <c r="C19" s="77"/>
      <c r="D19" s="87">
        <v>2.0</v>
      </c>
      <c r="E19" s="123" t="s">
        <v>60</v>
      </c>
      <c r="F19" s="80" t="s">
        <v>19</v>
      </c>
      <c r="G19" s="93">
        <v>336.0</v>
      </c>
      <c r="H19" s="96">
        <f>IFERROR(G20/G19,"")</f>
        <v>0.7291666667</v>
      </c>
      <c r="I19" s="97">
        <v>0.3</v>
      </c>
      <c r="J19" s="96">
        <f>H19*I19</f>
        <v>0.21875</v>
      </c>
      <c r="K19" s="82"/>
      <c r="L19" s="82"/>
      <c r="M19" s="83"/>
      <c r="N19" s="84"/>
      <c r="O19" s="74"/>
      <c r="P19" s="74"/>
    </row>
    <row r="20" ht="15.75" customHeight="1">
      <c r="A20" s="11"/>
      <c r="B20" s="11"/>
      <c r="C20" s="77"/>
      <c r="D20" s="78"/>
      <c r="E20" s="78"/>
      <c r="F20" s="80" t="s">
        <v>26</v>
      </c>
      <c r="G20" s="99">
        <v>245.0</v>
      </c>
      <c r="H20" s="78"/>
      <c r="I20" s="78"/>
      <c r="J20" s="78"/>
      <c r="K20" s="82"/>
      <c r="L20" s="82"/>
      <c r="M20" s="83"/>
      <c r="N20" s="84"/>
      <c r="O20" s="74"/>
      <c r="P20" s="74"/>
    </row>
    <row r="21" ht="15.75" customHeight="1">
      <c r="A21" s="11"/>
      <c r="B21" s="11"/>
      <c r="C21" s="77"/>
      <c r="D21" s="87">
        <v>3.0</v>
      </c>
      <c r="E21" s="102" t="s">
        <v>74</v>
      </c>
      <c r="F21" s="80" t="s">
        <v>19</v>
      </c>
      <c r="G21" s="93">
        <v>168.0</v>
      </c>
      <c r="H21" s="96">
        <f>IFERROR(G22/G21,"")</f>
        <v>0.7202380952</v>
      </c>
      <c r="I21" s="97">
        <v>0.3</v>
      </c>
      <c r="J21" s="96">
        <f>H21*I21</f>
        <v>0.2160714286</v>
      </c>
      <c r="K21" s="82"/>
      <c r="L21" s="82"/>
      <c r="M21" s="83"/>
      <c r="N21" s="84"/>
      <c r="O21" s="74"/>
      <c r="P21" s="74"/>
    </row>
    <row r="22" ht="15.75" customHeight="1">
      <c r="A22" s="11"/>
      <c r="B22" s="11"/>
      <c r="C22" s="77"/>
      <c r="D22" s="78"/>
      <c r="E22" s="78"/>
      <c r="F22" s="80" t="s">
        <v>26</v>
      </c>
      <c r="G22" s="99">
        <v>121.0</v>
      </c>
      <c r="H22" s="78"/>
      <c r="I22" s="78"/>
      <c r="J22" s="78"/>
      <c r="K22" s="82"/>
      <c r="L22" s="82"/>
      <c r="M22" s="83"/>
      <c r="N22" s="84"/>
      <c r="O22" s="74"/>
      <c r="P22" s="74"/>
    </row>
    <row r="23" ht="15.75" customHeight="1">
      <c r="A23" s="11"/>
      <c r="B23" s="11"/>
      <c r="C23" s="77"/>
      <c r="D23" s="87">
        <v>4.0</v>
      </c>
      <c r="E23" s="123" t="s">
        <v>88</v>
      </c>
      <c r="F23" s="80" t="s">
        <v>19</v>
      </c>
      <c r="G23" s="93">
        <v>600.0</v>
      </c>
      <c r="H23" s="96">
        <f>IFERROR(G24/G23,"")</f>
        <v>0.8466666667</v>
      </c>
      <c r="I23" s="97">
        <v>0.2</v>
      </c>
      <c r="J23" s="96">
        <f>H23*I23</f>
        <v>0.1693333333</v>
      </c>
      <c r="K23" s="82"/>
      <c r="L23" s="82"/>
      <c r="M23" s="83"/>
      <c r="N23" s="84"/>
      <c r="O23" s="74"/>
      <c r="P23" s="74"/>
    </row>
    <row r="24" ht="15.75" customHeight="1">
      <c r="A24" s="11"/>
      <c r="B24" s="11"/>
      <c r="C24" s="104"/>
      <c r="D24" s="82"/>
      <c r="E24" s="78"/>
      <c r="F24" s="133" t="s">
        <v>26</v>
      </c>
      <c r="G24" s="135">
        <v>508.0</v>
      </c>
      <c r="H24" s="78"/>
      <c r="I24" s="82"/>
      <c r="J24" s="78"/>
      <c r="K24" s="78"/>
      <c r="L24" s="78"/>
      <c r="M24" s="138"/>
      <c r="N24" s="84"/>
      <c r="O24" s="74"/>
      <c r="P24" s="74"/>
    </row>
    <row r="25" ht="15.75" customHeight="1">
      <c r="A25" s="5"/>
      <c r="B25" s="5"/>
      <c r="C25" s="139" t="s">
        <v>101</v>
      </c>
      <c r="D25" s="140">
        <v>1.0</v>
      </c>
      <c r="E25" s="53" t="s">
        <v>109</v>
      </c>
      <c r="F25" s="54" t="s">
        <v>19</v>
      </c>
      <c r="G25" s="55">
        <v>8.4E7</v>
      </c>
      <c r="H25" s="60">
        <f>IFERROR(G26/G25,"")</f>
        <v>0.8619047619</v>
      </c>
      <c r="I25" s="62">
        <v>0.45</v>
      </c>
      <c r="J25" s="60">
        <f>H25*I25</f>
        <v>0.3878571429</v>
      </c>
      <c r="K25" s="60">
        <f>SUM(J25:J30)</f>
        <v>0.7948139881</v>
      </c>
      <c r="L25" s="62">
        <v>0.2</v>
      </c>
      <c r="M25" s="70">
        <f>K25*L25</f>
        <v>0.1589627976</v>
      </c>
      <c r="N25" s="84"/>
      <c r="O25" s="74"/>
      <c r="P25" s="74"/>
    </row>
    <row r="26" ht="15.75" customHeight="1">
      <c r="A26" s="5"/>
      <c r="B26" s="5"/>
      <c r="C26" s="77"/>
      <c r="D26" s="78"/>
      <c r="E26" s="78"/>
      <c r="F26" s="80" t="s">
        <v>26</v>
      </c>
      <c r="G26" s="99">
        <v>7.24E7</v>
      </c>
      <c r="H26" s="78"/>
      <c r="I26" s="78"/>
      <c r="J26" s="78"/>
      <c r="K26" s="82"/>
      <c r="L26" s="82"/>
      <c r="M26" s="83"/>
      <c r="N26" s="84"/>
      <c r="O26" s="74"/>
      <c r="P26" s="74"/>
    </row>
    <row r="27" ht="15.75" customHeight="1">
      <c r="A27" s="5"/>
      <c r="B27" s="5"/>
      <c r="C27" s="77"/>
      <c r="D27" s="144">
        <v>2.0</v>
      </c>
      <c r="E27" s="102" t="s">
        <v>145</v>
      </c>
      <c r="F27" s="80" t="s">
        <v>19</v>
      </c>
      <c r="G27" s="93">
        <v>1.68E7</v>
      </c>
      <c r="H27" s="96">
        <f>IFERROR(G28/G27,"")</f>
        <v>0.8452380952</v>
      </c>
      <c r="I27" s="97">
        <v>0.1</v>
      </c>
      <c r="J27" s="96">
        <f>H27*I27</f>
        <v>0.08452380952</v>
      </c>
      <c r="K27" s="82"/>
      <c r="L27" s="82"/>
      <c r="M27" s="83"/>
      <c r="N27" s="84"/>
      <c r="O27" s="74"/>
      <c r="P27" s="74"/>
    </row>
    <row r="28" ht="15.75" customHeight="1">
      <c r="A28" s="5"/>
      <c r="B28" s="5"/>
      <c r="C28" s="77"/>
      <c r="D28" s="78"/>
      <c r="E28" s="78"/>
      <c r="F28" s="80" t="s">
        <v>26</v>
      </c>
      <c r="G28" s="99">
        <v>1.42E7</v>
      </c>
      <c r="H28" s="78"/>
      <c r="I28" s="78"/>
      <c r="J28" s="78"/>
      <c r="K28" s="82"/>
      <c r="L28" s="82"/>
      <c r="M28" s="83"/>
      <c r="N28" s="84"/>
      <c r="O28" s="74"/>
      <c r="P28" s="74"/>
    </row>
    <row r="29" ht="15.75" customHeight="1">
      <c r="A29" s="5"/>
      <c r="B29" s="5"/>
      <c r="C29" s="77"/>
      <c r="D29" s="144">
        <v>3.0</v>
      </c>
      <c r="E29" s="145" t="s">
        <v>166</v>
      </c>
      <c r="F29" s="80" t="s">
        <v>19</v>
      </c>
      <c r="G29" s="93">
        <v>6.72E7</v>
      </c>
      <c r="H29" s="96">
        <f>IFERROR(G30/G29,"")</f>
        <v>0.7165178571</v>
      </c>
      <c r="I29" s="97">
        <v>0.45</v>
      </c>
      <c r="J29" s="96">
        <f>H29*I29</f>
        <v>0.3224330357</v>
      </c>
      <c r="K29" s="82"/>
      <c r="L29" s="82"/>
      <c r="M29" s="83"/>
      <c r="N29" s="84"/>
      <c r="O29" s="74"/>
      <c r="P29" s="74"/>
    </row>
    <row r="30" ht="15.75" customHeight="1">
      <c r="A30" s="5"/>
      <c r="B30" s="5"/>
      <c r="C30" s="104"/>
      <c r="D30" s="105"/>
      <c r="E30" s="105"/>
      <c r="F30" s="106" t="s">
        <v>26</v>
      </c>
      <c r="G30" s="107">
        <v>4.815E7</v>
      </c>
      <c r="H30" s="105"/>
      <c r="I30" s="105"/>
      <c r="J30" s="105"/>
      <c r="K30" s="105"/>
      <c r="L30" s="105"/>
      <c r="M30" s="108"/>
      <c r="N30" s="147"/>
      <c r="O30" s="74"/>
      <c r="P30" s="74"/>
    </row>
    <row r="31" ht="15.75" customHeight="1">
      <c r="A31" s="5"/>
      <c r="B31" s="5"/>
      <c r="C31" s="5"/>
      <c r="D31" s="5"/>
      <c r="E31" s="5"/>
      <c r="F31" s="148"/>
      <c r="G31" s="9"/>
      <c r="H31" s="74"/>
      <c r="I31" s="74"/>
      <c r="J31" s="74"/>
      <c r="K31" s="74"/>
      <c r="L31" s="74"/>
      <c r="M31" s="74"/>
      <c r="N31" s="74"/>
      <c r="O31" s="74"/>
      <c r="P31" s="74"/>
    </row>
    <row r="32" ht="15.75" customHeight="1">
      <c r="A32" s="5"/>
      <c r="B32" s="5"/>
      <c r="C32" s="5"/>
      <c r="D32" s="5"/>
      <c r="E32" s="5"/>
      <c r="F32" s="148"/>
      <c r="G32" s="9"/>
      <c r="H32" s="74"/>
      <c r="I32" s="74"/>
      <c r="J32" s="74"/>
      <c r="K32" s="74"/>
      <c r="L32" s="74"/>
      <c r="M32" s="74"/>
      <c r="N32" s="74"/>
      <c r="O32" s="74"/>
      <c r="P32" s="74"/>
    </row>
    <row r="33" ht="15.75" customHeight="1">
      <c r="A33" s="5"/>
      <c r="B33" s="5"/>
      <c r="C33" s="5"/>
      <c r="D33" s="5"/>
      <c r="E33" s="5"/>
      <c r="F33" s="148"/>
      <c r="G33" s="9"/>
      <c r="H33" s="74"/>
      <c r="I33" s="74"/>
      <c r="J33" s="74"/>
      <c r="K33" s="74"/>
      <c r="L33" s="74"/>
      <c r="M33" s="74"/>
      <c r="N33" s="74"/>
      <c r="O33" s="74"/>
      <c r="P33" s="74"/>
    </row>
    <row r="34" ht="15.75" customHeight="1">
      <c r="A34" s="5"/>
      <c r="B34" s="5"/>
      <c r="C34" s="5"/>
      <c r="D34" s="5"/>
      <c r="E34" s="5"/>
      <c r="F34" s="148"/>
      <c r="G34" s="9"/>
      <c r="H34" s="74"/>
      <c r="I34" s="74"/>
      <c r="J34" s="74"/>
      <c r="K34" s="74"/>
      <c r="L34" s="74"/>
      <c r="M34" s="74"/>
      <c r="N34" s="74"/>
      <c r="O34" s="74"/>
      <c r="P34" s="74"/>
    </row>
    <row r="35" ht="15.75" customHeight="1">
      <c r="A35" s="5"/>
      <c r="B35" s="5"/>
      <c r="C35" s="5"/>
      <c r="D35" s="5"/>
      <c r="E35" s="5"/>
      <c r="F35" s="148"/>
      <c r="G35" s="9"/>
      <c r="H35" s="74"/>
      <c r="I35" s="74"/>
      <c r="J35" s="74"/>
      <c r="K35" s="74"/>
      <c r="L35" s="74"/>
      <c r="M35" s="74"/>
      <c r="N35" s="74"/>
      <c r="O35" s="74"/>
      <c r="P35" s="74"/>
    </row>
    <row r="36" ht="15.75" customHeight="1">
      <c r="A36" s="5"/>
      <c r="B36" s="5"/>
      <c r="C36" s="5"/>
      <c r="D36" s="5"/>
      <c r="E36" s="5"/>
      <c r="F36" s="148"/>
      <c r="G36" s="9"/>
      <c r="H36" s="74"/>
      <c r="I36" s="74"/>
      <c r="J36" s="74"/>
      <c r="K36" s="74"/>
      <c r="L36" s="74"/>
      <c r="M36" s="74"/>
      <c r="N36" s="74"/>
      <c r="O36" s="74"/>
      <c r="P36" s="74"/>
    </row>
    <row r="37" ht="15.75" customHeight="1">
      <c r="A37" s="5"/>
      <c r="B37" s="5"/>
      <c r="C37" s="5"/>
      <c r="D37" s="5"/>
      <c r="E37" s="5"/>
      <c r="F37" s="148"/>
      <c r="G37" s="9"/>
      <c r="H37" s="74"/>
      <c r="I37" s="74"/>
      <c r="J37" s="74"/>
      <c r="K37" s="74"/>
      <c r="L37" s="74"/>
      <c r="M37" s="74"/>
      <c r="N37" s="74"/>
      <c r="O37" s="74"/>
      <c r="P37" s="74"/>
    </row>
    <row r="38" ht="15.75" customHeight="1">
      <c r="A38" s="5"/>
      <c r="B38" s="5"/>
      <c r="C38" s="5"/>
      <c r="D38" s="5"/>
      <c r="E38" s="5"/>
      <c r="F38" s="148"/>
      <c r="G38" s="9"/>
      <c r="H38" s="74"/>
      <c r="I38" s="74"/>
      <c r="J38" s="74"/>
      <c r="K38" s="74"/>
      <c r="L38" s="74"/>
      <c r="M38" s="74"/>
      <c r="N38" s="74"/>
      <c r="O38" s="74"/>
      <c r="P38" s="74"/>
    </row>
    <row r="39" ht="15.75" customHeight="1">
      <c r="A39" s="5"/>
      <c r="B39" s="5"/>
      <c r="C39" s="5"/>
      <c r="D39" s="5"/>
      <c r="E39" s="5"/>
      <c r="F39" s="148"/>
      <c r="G39" s="9"/>
      <c r="H39" s="74"/>
      <c r="I39" s="74"/>
      <c r="J39" s="74"/>
      <c r="K39" s="74"/>
      <c r="L39" s="74"/>
      <c r="M39" s="74"/>
      <c r="N39" s="74"/>
      <c r="O39" s="74"/>
      <c r="P39" s="74"/>
    </row>
    <row r="40" ht="15.75" customHeight="1">
      <c r="A40" s="5"/>
      <c r="B40" s="5"/>
      <c r="C40" s="5"/>
      <c r="D40" s="5"/>
      <c r="E40" s="5"/>
      <c r="F40" s="148"/>
      <c r="G40" s="9"/>
      <c r="H40" s="74"/>
      <c r="I40" s="74"/>
      <c r="J40" s="74"/>
      <c r="K40" s="74"/>
      <c r="L40" s="74"/>
      <c r="M40" s="74"/>
      <c r="N40" s="74"/>
      <c r="O40" s="74"/>
      <c r="P40" s="74"/>
    </row>
    <row r="41" ht="15.75" customHeight="1">
      <c r="A41" s="5"/>
      <c r="B41" s="5"/>
      <c r="C41" s="5"/>
      <c r="D41" s="5"/>
      <c r="E41" s="5"/>
      <c r="F41" s="148"/>
      <c r="G41" s="9"/>
      <c r="H41" s="74"/>
      <c r="I41" s="74"/>
      <c r="J41" s="74"/>
      <c r="K41" s="74"/>
      <c r="L41" s="74"/>
      <c r="M41" s="74"/>
      <c r="N41" s="74"/>
      <c r="O41" s="74"/>
      <c r="P41" s="74"/>
    </row>
    <row r="42" ht="15.75" customHeight="1">
      <c r="A42" s="5"/>
      <c r="B42" s="5"/>
      <c r="C42" s="5"/>
      <c r="D42" s="5"/>
      <c r="E42" s="5"/>
      <c r="F42" s="148"/>
      <c r="G42" s="9"/>
      <c r="H42" s="74"/>
      <c r="I42" s="74"/>
      <c r="J42" s="74"/>
      <c r="K42" s="74"/>
      <c r="L42" s="74"/>
      <c r="M42" s="74"/>
      <c r="N42" s="74"/>
      <c r="O42" s="74"/>
      <c r="P42" s="74"/>
    </row>
    <row r="43" ht="15.75" customHeight="1">
      <c r="A43" s="5"/>
      <c r="B43" s="5"/>
      <c r="C43" s="5"/>
      <c r="D43" s="5"/>
      <c r="E43" s="5"/>
      <c r="F43" s="148"/>
      <c r="G43" s="9"/>
      <c r="H43" s="74"/>
      <c r="I43" s="74"/>
      <c r="J43" s="74"/>
      <c r="K43" s="74"/>
      <c r="L43" s="74"/>
      <c r="M43" s="74"/>
      <c r="N43" s="74"/>
      <c r="O43" s="74"/>
      <c r="P43" s="74"/>
    </row>
    <row r="44" ht="15.75" customHeight="1">
      <c r="A44" s="5"/>
      <c r="B44" s="5"/>
      <c r="C44" s="5"/>
      <c r="D44" s="5"/>
      <c r="E44" s="5"/>
      <c r="F44" s="148"/>
      <c r="G44" s="9"/>
      <c r="H44" s="74"/>
      <c r="I44" s="74"/>
      <c r="J44" s="74"/>
      <c r="K44" s="74"/>
      <c r="L44" s="74"/>
      <c r="M44" s="74"/>
      <c r="N44" s="74"/>
      <c r="O44" s="74"/>
      <c r="P44" s="74"/>
    </row>
    <row r="45" ht="15.75" customHeight="1">
      <c r="A45" s="5"/>
      <c r="B45" s="5"/>
      <c r="C45" s="5"/>
      <c r="D45" s="5"/>
      <c r="E45" s="5"/>
      <c r="F45" s="148"/>
      <c r="G45" s="9"/>
      <c r="H45" s="74"/>
      <c r="I45" s="74"/>
      <c r="J45" s="74"/>
      <c r="K45" s="74"/>
      <c r="L45" s="74"/>
      <c r="M45" s="74"/>
      <c r="N45" s="74"/>
      <c r="O45" s="74"/>
      <c r="P45" s="74"/>
    </row>
    <row r="46" ht="15.75" customHeight="1">
      <c r="A46" s="5"/>
      <c r="B46" s="5"/>
      <c r="C46" s="5"/>
      <c r="D46" s="5"/>
      <c r="E46" s="5"/>
      <c r="F46" s="148"/>
      <c r="G46" s="9"/>
      <c r="H46" s="74"/>
      <c r="I46" s="74"/>
      <c r="J46" s="74"/>
      <c r="K46" s="74"/>
      <c r="L46" s="74"/>
      <c r="M46" s="74"/>
      <c r="N46" s="74"/>
      <c r="O46" s="74"/>
      <c r="P46" s="74"/>
    </row>
    <row r="47" ht="15.75" customHeight="1">
      <c r="A47" s="5"/>
      <c r="B47" s="5"/>
      <c r="C47" s="5"/>
      <c r="D47" s="5"/>
      <c r="E47" s="5"/>
      <c r="F47" s="148"/>
      <c r="G47" s="9"/>
      <c r="H47" s="74"/>
      <c r="I47" s="74"/>
      <c r="J47" s="74"/>
      <c r="K47" s="74"/>
      <c r="L47" s="74"/>
      <c r="M47" s="74"/>
      <c r="N47" s="74"/>
      <c r="O47" s="74"/>
      <c r="P47" s="74"/>
    </row>
    <row r="48" ht="15.75" customHeight="1">
      <c r="A48" s="5"/>
      <c r="B48" s="5"/>
      <c r="C48" s="5"/>
      <c r="D48" s="5"/>
      <c r="E48" s="5"/>
      <c r="F48" s="148"/>
      <c r="G48" s="9"/>
      <c r="H48" s="74"/>
      <c r="I48" s="74"/>
      <c r="J48" s="74"/>
      <c r="K48" s="74"/>
      <c r="L48" s="74"/>
      <c r="M48" s="74"/>
      <c r="N48" s="74"/>
      <c r="O48" s="74"/>
      <c r="P48" s="74"/>
    </row>
    <row r="49" ht="15.75" customHeight="1">
      <c r="A49" s="5"/>
      <c r="B49" s="5"/>
      <c r="C49" s="5"/>
      <c r="D49" s="5"/>
      <c r="E49" s="5"/>
      <c r="F49" s="148"/>
      <c r="G49" s="9"/>
      <c r="H49" s="74"/>
      <c r="I49" s="74"/>
      <c r="J49" s="74"/>
      <c r="K49" s="74"/>
      <c r="L49" s="74"/>
      <c r="M49" s="74"/>
      <c r="N49" s="74"/>
      <c r="O49" s="74"/>
      <c r="P49" s="74"/>
    </row>
    <row r="50" ht="15.75" customHeight="1">
      <c r="A50" s="5"/>
      <c r="B50" s="5"/>
      <c r="C50" s="5"/>
      <c r="D50" s="5"/>
      <c r="E50" s="5"/>
      <c r="F50" s="148"/>
      <c r="G50" s="9"/>
      <c r="H50" s="74"/>
      <c r="I50" s="74"/>
      <c r="J50" s="74"/>
      <c r="K50" s="74"/>
      <c r="L50" s="74"/>
      <c r="M50" s="74"/>
      <c r="N50" s="74"/>
      <c r="O50" s="74"/>
      <c r="P50" s="74"/>
    </row>
    <row r="51" ht="15.75" customHeight="1">
      <c r="A51" s="5"/>
      <c r="B51" s="5"/>
      <c r="C51" s="5"/>
      <c r="D51" s="5"/>
      <c r="E51" s="5"/>
      <c r="F51" s="148"/>
      <c r="G51" s="9"/>
      <c r="H51" s="74"/>
      <c r="I51" s="74"/>
      <c r="J51" s="74"/>
      <c r="K51" s="74"/>
      <c r="L51" s="74"/>
      <c r="M51" s="74"/>
      <c r="N51" s="74"/>
      <c r="O51" s="74"/>
      <c r="P51" s="74"/>
    </row>
    <row r="52" ht="15.75" customHeight="1">
      <c r="A52" s="5"/>
      <c r="B52" s="5"/>
      <c r="C52" s="5"/>
      <c r="D52" s="5"/>
      <c r="E52" s="5"/>
      <c r="F52" s="148"/>
      <c r="G52" s="9"/>
      <c r="H52" s="74"/>
      <c r="I52" s="74"/>
      <c r="J52" s="74"/>
      <c r="K52" s="74"/>
      <c r="L52" s="74"/>
      <c r="M52" s="74"/>
      <c r="N52" s="74"/>
      <c r="O52" s="74"/>
      <c r="P52" s="74"/>
    </row>
    <row r="53" ht="15.75" customHeight="1">
      <c r="A53" s="5"/>
      <c r="B53" s="5"/>
      <c r="C53" s="5"/>
      <c r="D53" s="5"/>
      <c r="E53" s="5"/>
      <c r="F53" s="148"/>
      <c r="G53" s="9"/>
      <c r="H53" s="74"/>
      <c r="I53" s="74"/>
      <c r="J53" s="74"/>
      <c r="K53" s="74"/>
      <c r="L53" s="74"/>
      <c r="M53" s="74"/>
      <c r="N53" s="74"/>
      <c r="O53" s="74"/>
      <c r="P53" s="74"/>
    </row>
    <row r="54" ht="15.75" customHeight="1">
      <c r="A54" s="5"/>
      <c r="B54" s="5"/>
      <c r="C54" s="5"/>
      <c r="D54" s="5"/>
      <c r="E54" s="5"/>
      <c r="F54" s="148"/>
      <c r="G54" s="9"/>
      <c r="H54" s="74"/>
      <c r="I54" s="74"/>
      <c r="J54" s="74"/>
      <c r="K54" s="74"/>
      <c r="L54" s="74"/>
      <c r="M54" s="74"/>
      <c r="N54" s="74"/>
      <c r="O54" s="74"/>
      <c r="P54" s="74"/>
    </row>
    <row r="55" ht="15.75" customHeight="1">
      <c r="A55" s="5"/>
      <c r="B55" s="5"/>
      <c r="C55" s="5"/>
      <c r="D55" s="5"/>
      <c r="E55" s="5"/>
      <c r="F55" s="148"/>
      <c r="G55" s="9"/>
      <c r="H55" s="74"/>
      <c r="I55" s="74"/>
      <c r="J55" s="74"/>
      <c r="K55" s="74"/>
      <c r="L55" s="74"/>
      <c r="M55" s="74"/>
      <c r="N55" s="74"/>
      <c r="O55" s="74"/>
      <c r="P55" s="74"/>
    </row>
    <row r="56" ht="15.75" customHeight="1">
      <c r="A56" s="5"/>
      <c r="B56" s="5"/>
      <c r="C56" s="5"/>
      <c r="D56" s="5"/>
      <c r="E56" s="5"/>
      <c r="F56" s="148"/>
      <c r="G56" s="9"/>
      <c r="H56" s="74"/>
      <c r="I56" s="74"/>
      <c r="J56" s="74"/>
      <c r="K56" s="74"/>
      <c r="L56" s="74"/>
      <c r="M56" s="74"/>
      <c r="N56" s="74"/>
      <c r="O56" s="74"/>
      <c r="P56" s="74"/>
    </row>
    <row r="57" ht="15.75" customHeight="1">
      <c r="A57" s="5"/>
      <c r="B57" s="5"/>
      <c r="C57" s="5"/>
      <c r="D57" s="5"/>
      <c r="E57" s="5"/>
      <c r="F57" s="148"/>
      <c r="G57" s="9"/>
      <c r="H57" s="74"/>
      <c r="I57" s="74"/>
      <c r="J57" s="74"/>
      <c r="K57" s="74"/>
      <c r="L57" s="74"/>
      <c r="M57" s="74"/>
      <c r="N57" s="74"/>
      <c r="O57" s="74"/>
      <c r="P57" s="74"/>
    </row>
    <row r="58" ht="15.75" customHeight="1">
      <c r="A58" s="5"/>
      <c r="B58" s="5"/>
      <c r="C58" s="5"/>
      <c r="D58" s="5"/>
      <c r="E58" s="5"/>
      <c r="F58" s="148"/>
      <c r="G58" s="9"/>
      <c r="H58" s="74"/>
      <c r="I58" s="74"/>
      <c r="J58" s="74"/>
      <c r="K58" s="74"/>
      <c r="L58" s="74"/>
      <c r="M58" s="74"/>
      <c r="N58" s="74"/>
      <c r="O58" s="74"/>
      <c r="P58" s="74"/>
    </row>
    <row r="59" ht="15.75" customHeight="1">
      <c r="A59" s="5"/>
      <c r="B59" s="5"/>
      <c r="C59" s="5"/>
      <c r="D59" s="5"/>
      <c r="E59" s="5"/>
      <c r="F59" s="148"/>
      <c r="G59" s="9"/>
      <c r="H59" s="74"/>
      <c r="I59" s="74"/>
      <c r="J59" s="74"/>
      <c r="K59" s="74"/>
      <c r="L59" s="74"/>
      <c r="M59" s="74"/>
      <c r="N59" s="74"/>
      <c r="O59" s="74"/>
      <c r="P59" s="74"/>
    </row>
    <row r="60" ht="15.75" customHeight="1">
      <c r="A60" s="5"/>
      <c r="B60" s="5"/>
      <c r="C60" s="5"/>
      <c r="D60" s="5"/>
      <c r="E60" s="5"/>
      <c r="F60" s="148"/>
      <c r="G60" s="9"/>
      <c r="H60" s="74"/>
      <c r="I60" s="74"/>
      <c r="J60" s="74"/>
      <c r="K60" s="74"/>
      <c r="L60" s="74"/>
      <c r="M60" s="74"/>
      <c r="N60" s="74"/>
      <c r="O60" s="74"/>
      <c r="P60" s="74"/>
    </row>
    <row r="61" ht="15.75" customHeight="1">
      <c r="A61" s="5"/>
      <c r="B61" s="5"/>
      <c r="C61" s="5"/>
      <c r="D61" s="5"/>
      <c r="E61" s="5"/>
      <c r="F61" s="148"/>
      <c r="G61" s="9"/>
      <c r="H61" s="74"/>
      <c r="I61" s="74"/>
      <c r="J61" s="74"/>
      <c r="K61" s="74"/>
      <c r="L61" s="74"/>
      <c r="M61" s="74"/>
      <c r="N61" s="74"/>
      <c r="O61" s="74"/>
      <c r="P61" s="74"/>
    </row>
    <row r="62" ht="15.75" customHeight="1">
      <c r="A62" s="5"/>
      <c r="B62" s="5"/>
      <c r="C62" s="5"/>
      <c r="D62" s="5"/>
      <c r="E62" s="5"/>
      <c r="F62" s="148"/>
      <c r="G62" s="9"/>
      <c r="H62" s="74"/>
      <c r="I62" s="74"/>
      <c r="J62" s="74"/>
      <c r="K62" s="74"/>
      <c r="L62" s="74"/>
      <c r="M62" s="74"/>
      <c r="N62" s="74"/>
      <c r="O62" s="74"/>
      <c r="P62" s="74"/>
    </row>
    <row r="63" ht="15.75" customHeight="1">
      <c r="A63" s="5"/>
      <c r="B63" s="5"/>
      <c r="C63" s="5"/>
      <c r="D63" s="5"/>
      <c r="E63" s="5"/>
      <c r="F63" s="148"/>
      <c r="G63" s="9"/>
      <c r="H63" s="74"/>
      <c r="I63" s="74"/>
      <c r="J63" s="74"/>
      <c r="K63" s="74"/>
      <c r="L63" s="74"/>
      <c r="M63" s="74"/>
      <c r="N63" s="74"/>
      <c r="O63" s="74"/>
      <c r="P63" s="74"/>
    </row>
    <row r="64" ht="15.75" customHeight="1">
      <c r="A64" s="5"/>
      <c r="B64" s="5"/>
      <c r="C64" s="5"/>
      <c r="D64" s="5"/>
      <c r="E64" s="5"/>
      <c r="F64" s="148"/>
      <c r="G64" s="9"/>
      <c r="H64" s="74"/>
      <c r="I64" s="74"/>
      <c r="J64" s="74"/>
      <c r="K64" s="74"/>
      <c r="L64" s="74"/>
      <c r="M64" s="74"/>
      <c r="N64" s="74"/>
      <c r="O64" s="74"/>
      <c r="P64" s="74"/>
    </row>
    <row r="65" ht="15.75" customHeight="1">
      <c r="A65" s="5"/>
      <c r="B65" s="5"/>
      <c r="C65" s="5"/>
      <c r="D65" s="5"/>
      <c r="E65" s="5"/>
      <c r="F65" s="148"/>
      <c r="G65" s="9"/>
      <c r="H65" s="74"/>
      <c r="I65" s="74"/>
      <c r="J65" s="74"/>
      <c r="K65" s="74"/>
      <c r="L65" s="74"/>
      <c r="M65" s="74"/>
      <c r="N65" s="74"/>
      <c r="O65" s="74"/>
      <c r="P65" s="74"/>
    </row>
    <row r="66" ht="15.75" customHeight="1">
      <c r="A66" s="5"/>
      <c r="B66" s="5"/>
      <c r="C66" s="5"/>
      <c r="D66" s="5"/>
      <c r="E66" s="5"/>
      <c r="F66" s="148"/>
      <c r="G66" s="9"/>
      <c r="H66" s="74"/>
      <c r="I66" s="74"/>
      <c r="J66" s="74"/>
      <c r="K66" s="74"/>
      <c r="L66" s="74"/>
      <c r="M66" s="74"/>
      <c r="N66" s="74"/>
      <c r="O66" s="74"/>
      <c r="P66" s="74"/>
    </row>
    <row r="67" ht="15.75" customHeight="1">
      <c r="A67" s="5"/>
      <c r="B67" s="5"/>
      <c r="C67" s="5"/>
      <c r="D67" s="5"/>
      <c r="E67" s="5"/>
      <c r="F67" s="148"/>
      <c r="G67" s="9"/>
      <c r="H67" s="74"/>
      <c r="I67" s="74"/>
      <c r="J67" s="74"/>
      <c r="K67" s="74"/>
      <c r="L67" s="74"/>
      <c r="M67" s="74"/>
      <c r="N67" s="74"/>
      <c r="O67" s="74"/>
      <c r="P67" s="74"/>
    </row>
    <row r="68" ht="15.75" customHeight="1">
      <c r="A68" s="5"/>
      <c r="B68" s="5"/>
      <c r="C68" s="5"/>
      <c r="D68" s="5"/>
      <c r="E68" s="5"/>
      <c r="F68" s="148"/>
      <c r="G68" s="9"/>
      <c r="H68" s="74"/>
      <c r="I68" s="74"/>
      <c r="J68" s="74"/>
      <c r="K68" s="74"/>
      <c r="L68" s="74"/>
      <c r="M68" s="74"/>
      <c r="N68" s="74"/>
      <c r="O68" s="74"/>
      <c r="P68" s="74"/>
    </row>
    <row r="69" ht="15.75" customHeight="1">
      <c r="A69" s="5"/>
      <c r="B69" s="5"/>
      <c r="C69" s="5"/>
      <c r="D69" s="5"/>
      <c r="E69" s="5"/>
      <c r="F69" s="148"/>
      <c r="G69" s="9"/>
      <c r="H69" s="74"/>
      <c r="I69" s="74"/>
      <c r="J69" s="74"/>
      <c r="K69" s="74"/>
      <c r="L69" s="74"/>
      <c r="M69" s="74"/>
      <c r="N69" s="74"/>
      <c r="O69" s="74"/>
      <c r="P69" s="74"/>
    </row>
    <row r="70" ht="15.75" customHeight="1">
      <c r="A70" s="5"/>
      <c r="B70" s="5"/>
      <c r="C70" s="5"/>
      <c r="D70" s="5"/>
      <c r="E70" s="5"/>
      <c r="F70" s="148"/>
      <c r="G70" s="9"/>
      <c r="H70" s="74"/>
      <c r="I70" s="74"/>
      <c r="J70" s="74"/>
      <c r="K70" s="74"/>
      <c r="L70" s="74"/>
      <c r="M70" s="74"/>
      <c r="N70" s="74"/>
      <c r="O70" s="74"/>
      <c r="P70" s="74"/>
    </row>
    <row r="71" ht="15.75" customHeight="1">
      <c r="A71" s="5"/>
      <c r="B71" s="5"/>
      <c r="C71" s="5"/>
      <c r="D71" s="5"/>
      <c r="E71" s="5"/>
      <c r="F71" s="148"/>
      <c r="G71" s="9"/>
      <c r="H71" s="74"/>
      <c r="I71" s="74"/>
      <c r="J71" s="74"/>
      <c r="K71" s="74"/>
      <c r="L71" s="74"/>
      <c r="M71" s="74"/>
      <c r="N71" s="74"/>
      <c r="O71" s="74"/>
      <c r="P71" s="74"/>
    </row>
    <row r="72" ht="15.75" customHeight="1">
      <c r="A72" s="5"/>
      <c r="B72" s="5"/>
      <c r="C72" s="5"/>
      <c r="D72" s="5"/>
      <c r="E72" s="5"/>
      <c r="F72" s="148"/>
      <c r="G72" s="9"/>
      <c r="H72" s="74"/>
      <c r="I72" s="74"/>
      <c r="J72" s="74"/>
      <c r="K72" s="74"/>
      <c r="L72" s="74"/>
      <c r="M72" s="74"/>
      <c r="N72" s="74"/>
      <c r="O72" s="74"/>
      <c r="P72" s="74"/>
    </row>
    <row r="73" ht="15.75" customHeight="1">
      <c r="A73" s="5"/>
      <c r="B73" s="5"/>
      <c r="C73" s="5"/>
      <c r="D73" s="5"/>
      <c r="E73" s="5"/>
      <c r="F73" s="148"/>
      <c r="G73" s="9"/>
      <c r="H73" s="74"/>
      <c r="I73" s="74"/>
      <c r="J73" s="74"/>
      <c r="K73" s="74"/>
      <c r="L73" s="74"/>
      <c r="M73" s="74"/>
      <c r="N73" s="74"/>
      <c r="O73" s="74"/>
      <c r="P73" s="74"/>
    </row>
    <row r="74" ht="15.75" customHeight="1">
      <c r="A74" s="5"/>
      <c r="B74" s="5"/>
      <c r="C74" s="5"/>
      <c r="D74" s="5"/>
      <c r="E74" s="5"/>
      <c r="F74" s="148"/>
      <c r="G74" s="9"/>
      <c r="H74" s="74"/>
      <c r="I74" s="74"/>
      <c r="J74" s="74"/>
      <c r="K74" s="74"/>
      <c r="L74" s="74"/>
      <c r="M74" s="74"/>
      <c r="N74" s="74"/>
      <c r="O74" s="74"/>
      <c r="P74" s="74"/>
    </row>
    <row r="75" ht="15.75" customHeight="1">
      <c r="A75" s="5"/>
      <c r="B75" s="5"/>
      <c r="C75" s="5"/>
      <c r="D75" s="5"/>
      <c r="E75" s="5"/>
      <c r="F75" s="148"/>
      <c r="G75" s="9"/>
      <c r="H75" s="74"/>
      <c r="I75" s="74"/>
      <c r="J75" s="74"/>
      <c r="K75" s="74"/>
      <c r="L75" s="74"/>
      <c r="M75" s="74"/>
      <c r="N75" s="74"/>
      <c r="O75" s="74"/>
      <c r="P75" s="74"/>
    </row>
    <row r="76" ht="15.75" customHeight="1">
      <c r="A76" s="5"/>
      <c r="B76" s="5"/>
      <c r="C76" s="5"/>
      <c r="D76" s="5"/>
      <c r="E76" s="5"/>
      <c r="F76" s="148"/>
      <c r="G76" s="9"/>
      <c r="H76" s="74"/>
      <c r="I76" s="74"/>
      <c r="J76" s="74"/>
      <c r="K76" s="74"/>
      <c r="L76" s="74"/>
      <c r="M76" s="74"/>
      <c r="N76" s="74"/>
      <c r="O76" s="74"/>
      <c r="P76" s="74"/>
    </row>
    <row r="77" ht="15.75" customHeight="1">
      <c r="A77" s="5"/>
      <c r="B77" s="5"/>
      <c r="C77" s="5"/>
      <c r="D77" s="5"/>
      <c r="E77" s="5"/>
      <c r="F77" s="148"/>
      <c r="G77" s="9"/>
      <c r="H77" s="74"/>
      <c r="I77" s="74"/>
      <c r="J77" s="74"/>
      <c r="K77" s="74"/>
      <c r="L77" s="74"/>
      <c r="M77" s="74"/>
      <c r="N77" s="74"/>
      <c r="O77" s="74"/>
      <c r="P77" s="74"/>
    </row>
    <row r="78" ht="15.75" customHeight="1">
      <c r="A78" s="5"/>
      <c r="B78" s="5"/>
      <c r="C78" s="5"/>
      <c r="D78" s="5"/>
      <c r="E78" s="5"/>
      <c r="F78" s="148"/>
      <c r="G78" s="9"/>
      <c r="H78" s="74"/>
      <c r="I78" s="74"/>
      <c r="J78" s="74"/>
      <c r="K78" s="74"/>
      <c r="L78" s="74"/>
      <c r="M78" s="74"/>
      <c r="N78" s="74"/>
      <c r="O78" s="74"/>
      <c r="P78" s="74"/>
    </row>
    <row r="79" ht="15.75" customHeight="1">
      <c r="A79" s="5"/>
      <c r="B79" s="5"/>
      <c r="C79" s="5"/>
      <c r="D79" s="5"/>
      <c r="E79" s="5"/>
      <c r="F79" s="148"/>
      <c r="G79" s="9"/>
      <c r="H79" s="74"/>
      <c r="I79" s="74"/>
      <c r="J79" s="74"/>
      <c r="K79" s="74"/>
      <c r="L79" s="74"/>
      <c r="M79" s="74"/>
      <c r="N79" s="74"/>
      <c r="O79" s="74"/>
      <c r="P79" s="74"/>
    </row>
    <row r="80" ht="15.75" customHeight="1">
      <c r="A80" s="5"/>
      <c r="B80" s="5"/>
      <c r="C80" s="5"/>
      <c r="D80" s="5"/>
      <c r="E80" s="5"/>
      <c r="F80" s="148"/>
      <c r="G80" s="9"/>
      <c r="H80" s="74"/>
      <c r="I80" s="74"/>
      <c r="J80" s="74"/>
      <c r="K80" s="74"/>
      <c r="L80" s="74"/>
      <c r="M80" s="74"/>
      <c r="N80" s="74"/>
      <c r="O80" s="74"/>
      <c r="P80" s="74"/>
    </row>
    <row r="81" ht="15.75" customHeight="1">
      <c r="A81" s="5"/>
      <c r="B81" s="5"/>
      <c r="C81" s="5"/>
      <c r="D81" s="5"/>
      <c r="E81" s="5"/>
      <c r="F81" s="148"/>
      <c r="G81" s="9"/>
      <c r="H81" s="74"/>
      <c r="I81" s="74"/>
      <c r="J81" s="74"/>
      <c r="K81" s="74"/>
      <c r="L81" s="74"/>
      <c r="M81" s="74"/>
      <c r="N81" s="74"/>
      <c r="O81" s="74"/>
      <c r="P81" s="74"/>
    </row>
    <row r="82" ht="15.75" customHeight="1">
      <c r="A82" s="5"/>
      <c r="B82" s="5"/>
      <c r="C82" s="5"/>
      <c r="D82" s="5"/>
      <c r="E82" s="5"/>
      <c r="F82" s="148"/>
      <c r="G82" s="9"/>
      <c r="H82" s="74"/>
      <c r="I82" s="74"/>
      <c r="J82" s="74"/>
      <c r="K82" s="74"/>
      <c r="L82" s="74"/>
      <c r="M82" s="74"/>
      <c r="N82" s="74"/>
      <c r="O82" s="74"/>
      <c r="P82" s="74"/>
    </row>
    <row r="83" ht="15.75" customHeight="1">
      <c r="A83" s="5"/>
      <c r="B83" s="5"/>
      <c r="C83" s="5"/>
      <c r="D83" s="5"/>
      <c r="E83" s="5"/>
      <c r="F83" s="148"/>
      <c r="G83" s="9"/>
      <c r="H83" s="74"/>
      <c r="I83" s="74"/>
      <c r="J83" s="74"/>
      <c r="K83" s="74"/>
      <c r="L83" s="74"/>
      <c r="M83" s="74"/>
      <c r="N83" s="74"/>
      <c r="O83" s="74"/>
      <c r="P83" s="74"/>
    </row>
    <row r="84" ht="15.75" customHeight="1">
      <c r="A84" s="5"/>
      <c r="B84" s="5"/>
      <c r="C84" s="5"/>
      <c r="D84" s="5"/>
      <c r="E84" s="5"/>
      <c r="F84" s="148"/>
      <c r="G84" s="9"/>
      <c r="H84" s="74"/>
      <c r="I84" s="74"/>
      <c r="J84" s="74"/>
      <c r="K84" s="74"/>
      <c r="L84" s="74"/>
      <c r="M84" s="74"/>
      <c r="N84" s="74"/>
      <c r="O84" s="74"/>
      <c r="P84" s="74"/>
    </row>
    <row r="85" ht="15.75" customHeight="1">
      <c r="A85" s="5"/>
      <c r="B85" s="5"/>
      <c r="C85" s="5"/>
      <c r="D85" s="5"/>
      <c r="E85" s="5"/>
      <c r="F85" s="148"/>
      <c r="G85" s="9"/>
      <c r="H85" s="74"/>
      <c r="I85" s="74"/>
      <c r="J85" s="74"/>
      <c r="K85" s="74"/>
      <c r="L85" s="74"/>
      <c r="M85" s="74"/>
      <c r="N85" s="74"/>
      <c r="O85" s="74"/>
      <c r="P85" s="74"/>
    </row>
    <row r="86" ht="15.75" customHeight="1">
      <c r="A86" s="5"/>
      <c r="B86" s="5"/>
      <c r="C86" s="5"/>
      <c r="D86" s="5"/>
      <c r="E86" s="5"/>
      <c r="F86" s="148"/>
      <c r="G86" s="9"/>
      <c r="H86" s="74"/>
      <c r="I86" s="74"/>
      <c r="J86" s="74"/>
      <c r="K86" s="74"/>
      <c r="L86" s="74"/>
      <c r="M86" s="74"/>
      <c r="N86" s="74"/>
      <c r="O86" s="74"/>
      <c r="P86" s="74"/>
    </row>
    <row r="87" ht="15.75" customHeight="1">
      <c r="A87" s="5"/>
      <c r="B87" s="5"/>
      <c r="C87" s="5"/>
      <c r="D87" s="5"/>
      <c r="E87" s="5"/>
      <c r="F87" s="148"/>
      <c r="G87" s="9"/>
      <c r="H87" s="74"/>
      <c r="I87" s="74"/>
      <c r="J87" s="74"/>
      <c r="K87" s="74"/>
      <c r="L87" s="74"/>
      <c r="M87" s="74"/>
      <c r="N87" s="74"/>
      <c r="O87" s="74"/>
      <c r="P87" s="74"/>
    </row>
    <row r="88" ht="15.75" customHeight="1">
      <c r="A88" s="5"/>
      <c r="B88" s="5"/>
      <c r="C88" s="5"/>
      <c r="D88" s="5"/>
      <c r="E88" s="5"/>
      <c r="F88" s="148"/>
      <c r="G88" s="9"/>
      <c r="H88" s="74"/>
      <c r="I88" s="74"/>
      <c r="J88" s="74"/>
      <c r="K88" s="74"/>
      <c r="L88" s="74"/>
      <c r="M88" s="74"/>
      <c r="N88" s="74"/>
      <c r="O88" s="74"/>
      <c r="P88" s="74"/>
    </row>
    <row r="89" ht="15.75" customHeight="1">
      <c r="A89" s="5"/>
      <c r="B89" s="5"/>
      <c r="C89" s="5"/>
      <c r="D89" s="5"/>
      <c r="E89" s="5"/>
      <c r="F89" s="148"/>
      <c r="G89" s="9"/>
      <c r="H89" s="74"/>
      <c r="I89" s="74"/>
      <c r="J89" s="74"/>
      <c r="K89" s="74"/>
      <c r="L89" s="74"/>
      <c r="M89" s="74"/>
      <c r="N89" s="74"/>
      <c r="O89" s="74"/>
      <c r="P89" s="74"/>
    </row>
    <row r="90" ht="15.75" customHeight="1">
      <c r="A90" s="5"/>
      <c r="B90" s="5"/>
      <c r="C90" s="5"/>
      <c r="D90" s="5"/>
      <c r="E90" s="5"/>
      <c r="F90" s="148"/>
      <c r="G90" s="9"/>
      <c r="H90" s="74"/>
      <c r="I90" s="74"/>
      <c r="J90" s="74"/>
      <c r="K90" s="74"/>
      <c r="L90" s="74"/>
      <c r="M90" s="74"/>
      <c r="N90" s="74"/>
      <c r="O90" s="74"/>
      <c r="P90" s="74"/>
    </row>
    <row r="91" ht="15.75" customHeight="1">
      <c r="A91" s="5"/>
      <c r="B91" s="5"/>
      <c r="C91" s="5"/>
      <c r="D91" s="5"/>
      <c r="E91" s="5"/>
      <c r="F91" s="148"/>
      <c r="G91" s="9"/>
      <c r="H91" s="74"/>
      <c r="I91" s="74"/>
      <c r="J91" s="74"/>
      <c r="K91" s="74"/>
      <c r="L91" s="74"/>
      <c r="M91" s="74"/>
      <c r="N91" s="74"/>
      <c r="O91" s="74"/>
      <c r="P91" s="74"/>
    </row>
    <row r="92" ht="15.75" customHeight="1">
      <c r="A92" s="5"/>
      <c r="B92" s="5"/>
      <c r="C92" s="5"/>
      <c r="D92" s="5"/>
      <c r="E92" s="5"/>
      <c r="F92" s="148"/>
      <c r="G92" s="9"/>
      <c r="H92" s="74"/>
      <c r="I92" s="74"/>
      <c r="J92" s="74"/>
      <c r="K92" s="74"/>
      <c r="L92" s="74"/>
      <c r="M92" s="74"/>
      <c r="N92" s="74"/>
      <c r="O92" s="74"/>
      <c r="P92" s="74"/>
    </row>
    <row r="93" ht="15.75" customHeight="1">
      <c r="A93" s="5"/>
      <c r="B93" s="5"/>
      <c r="C93" s="5"/>
      <c r="D93" s="5"/>
      <c r="E93" s="5"/>
      <c r="F93" s="148"/>
      <c r="G93" s="9"/>
      <c r="H93" s="74"/>
      <c r="I93" s="74"/>
      <c r="J93" s="74"/>
      <c r="K93" s="74"/>
      <c r="L93" s="74"/>
      <c r="M93" s="74"/>
      <c r="N93" s="74"/>
      <c r="O93" s="74"/>
      <c r="P93" s="74"/>
    </row>
    <row r="94" ht="15.75" customHeight="1">
      <c r="A94" s="5"/>
      <c r="B94" s="5"/>
      <c r="C94" s="5"/>
      <c r="D94" s="5"/>
      <c r="E94" s="5"/>
      <c r="F94" s="148"/>
      <c r="G94" s="9"/>
      <c r="H94" s="74"/>
      <c r="I94" s="74"/>
      <c r="J94" s="74"/>
      <c r="K94" s="74"/>
      <c r="L94" s="74"/>
      <c r="M94" s="74"/>
      <c r="N94" s="74"/>
      <c r="O94" s="74"/>
      <c r="P94" s="74"/>
    </row>
    <row r="95" ht="15.75" customHeight="1">
      <c r="A95" s="5"/>
      <c r="B95" s="5"/>
      <c r="C95" s="5"/>
      <c r="D95" s="5"/>
      <c r="E95" s="5"/>
      <c r="F95" s="148"/>
      <c r="G95" s="9"/>
      <c r="H95" s="74"/>
      <c r="I95" s="74"/>
      <c r="J95" s="74"/>
      <c r="K95" s="74"/>
      <c r="L95" s="74"/>
      <c r="M95" s="74"/>
      <c r="N95" s="74"/>
      <c r="O95" s="74"/>
      <c r="P95" s="74"/>
    </row>
    <row r="96" ht="15.75" customHeight="1">
      <c r="A96" s="5"/>
      <c r="B96" s="5"/>
      <c r="C96" s="5"/>
      <c r="D96" s="5"/>
      <c r="E96" s="5"/>
      <c r="F96" s="148"/>
      <c r="G96" s="9"/>
      <c r="H96" s="74"/>
      <c r="I96" s="74"/>
      <c r="J96" s="74"/>
      <c r="K96" s="74"/>
      <c r="L96" s="74"/>
      <c r="M96" s="74"/>
      <c r="N96" s="74"/>
      <c r="O96" s="74"/>
      <c r="P96" s="74"/>
    </row>
    <row r="97" ht="15.75" customHeight="1">
      <c r="A97" s="5"/>
      <c r="B97" s="5"/>
      <c r="C97" s="5"/>
      <c r="D97" s="5"/>
      <c r="E97" s="5"/>
      <c r="F97" s="148"/>
      <c r="G97" s="9"/>
      <c r="H97" s="74"/>
      <c r="I97" s="74"/>
      <c r="J97" s="74"/>
      <c r="K97" s="74"/>
      <c r="L97" s="74"/>
      <c r="M97" s="74"/>
      <c r="N97" s="74"/>
      <c r="O97" s="74"/>
      <c r="P97" s="74"/>
    </row>
    <row r="98" ht="15.75" customHeight="1">
      <c r="A98" s="5"/>
      <c r="B98" s="5"/>
      <c r="C98" s="5"/>
      <c r="D98" s="5"/>
      <c r="E98" s="5"/>
      <c r="F98" s="148"/>
      <c r="G98" s="9"/>
      <c r="H98" s="74"/>
      <c r="I98" s="74"/>
      <c r="J98" s="74"/>
      <c r="K98" s="74"/>
      <c r="L98" s="74"/>
      <c r="M98" s="74"/>
      <c r="N98" s="74"/>
      <c r="O98" s="74"/>
      <c r="P98" s="74"/>
    </row>
    <row r="99" ht="15.75" customHeight="1">
      <c r="A99" s="5"/>
      <c r="B99" s="5"/>
      <c r="C99" s="5"/>
      <c r="D99" s="5"/>
      <c r="E99" s="5"/>
      <c r="F99" s="148"/>
      <c r="G99" s="9"/>
      <c r="H99" s="74"/>
      <c r="I99" s="74"/>
      <c r="J99" s="74"/>
      <c r="K99" s="74"/>
      <c r="L99" s="74"/>
      <c r="M99" s="74"/>
      <c r="N99" s="74"/>
      <c r="O99" s="74"/>
      <c r="P99" s="74"/>
    </row>
    <row r="100" ht="15.75" customHeight="1">
      <c r="A100" s="5"/>
      <c r="B100" s="5"/>
      <c r="C100" s="5"/>
      <c r="D100" s="5"/>
      <c r="E100" s="5"/>
      <c r="F100" s="148"/>
      <c r="G100" s="9"/>
      <c r="H100" s="74"/>
      <c r="I100" s="74"/>
      <c r="J100" s="74"/>
      <c r="K100" s="74"/>
      <c r="L100" s="74"/>
      <c r="M100" s="74"/>
      <c r="N100" s="74"/>
      <c r="O100" s="74"/>
      <c r="P100" s="74"/>
    </row>
    <row r="101" ht="15.75" customHeight="1">
      <c r="A101" s="5"/>
      <c r="B101" s="5"/>
      <c r="C101" s="5"/>
      <c r="D101" s="5"/>
      <c r="E101" s="5"/>
      <c r="F101" s="148"/>
      <c r="G101" s="9"/>
      <c r="H101" s="74"/>
      <c r="I101" s="74"/>
      <c r="J101" s="74"/>
      <c r="K101" s="74"/>
      <c r="L101" s="74"/>
      <c r="M101" s="74"/>
      <c r="N101" s="74"/>
      <c r="O101" s="74"/>
      <c r="P101" s="74"/>
    </row>
    <row r="102" ht="15.75" customHeight="1">
      <c r="A102" s="5"/>
      <c r="B102" s="5"/>
      <c r="C102" s="5"/>
      <c r="D102" s="5"/>
      <c r="E102" s="5"/>
      <c r="F102" s="148"/>
      <c r="G102" s="9"/>
      <c r="H102" s="74"/>
      <c r="I102" s="74"/>
      <c r="J102" s="74"/>
      <c r="K102" s="74"/>
      <c r="L102" s="74"/>
      <c r="M102" s="74"/>
      <c r="N102" s="74"/>
      <c r="O102" s="74"/>
      <c r="P102" s="74"/>
    </row>
    <row r="103" ht="15.75" customHeight="1">
      <c r="A103" s="5"/>
      <c r="B103" s="5"/>
      <c r="C103" s="5"/>
      <c r="D103" s="5"/>
      <c r="E103" s="5"/>
      <c r="F103" s="148"/>
      <c r="G103" s="9"/>
      <c r="H103" s="74"/>
      <c r="I103" s="74"/>
      <c r="J103" s="74"/>
      <c r="K103" s="74"/>
      <c r="L103" s="74"/>
      <c r="M103" s="74"/>
      <c r="N103" s="74"/>
      <c r="O103" s="74"/>
      <c r="P103" s="74"/>
    </row>
    <row r="104" ht="15.75" customHeight="1">
      <c r="A104" s="5"/>
      <c r="B104" s="5"/>
      <c r="C104" s="5"/>
      <c r="D104" s="5"/>
      <c r="E104" s="5"/>
      <c r="F104" s="148"/>
      <c r="G104" s="9"/>
      <c r="H104" s="74"/>
      <c r="I104" s="74"/>
      <c r="J104" s="74"/>
      <c r="K104" s="74"/>
      <c r="L104" s="74"/>
      <c r="M104" s="74"/>
      <c r="N104" s="74"/>
      <c r="O104" s="74"/>
      <c r="P104" s="74"/>
    </row>
    <row r="105" ht="15.75" customHeight="1">
      <c r="A105" s="5"/>
      <c r="B105" s="5"/>
      <c r="C105" s="5"/>
      <c r="D105" s="5"/>
      <c r="E105" s="5"/>
      <c r="F105" s="148"/>
      <c r="G105" s="9"/>
      <c r="H105" s="74"/>
      <c r="I105" s="74"/>
      <c r="J105" s="74"/>
      <c r="K105" s="74"/>
      <c r="L105" s="74"/>
      <c r="M105" s="74"/>
      <c r="N105" s="74"/>
      <c r="O105" s="74"/>
      <c r="P105" s="74"/>
    </row>
    <row r="106" ht="15.75" customHeight="1">
      <c r="A106" s="5"/>
      <c r="B106" s="5"/>
      <c r="C106" s="5"/>
      <c r="D106" s="5"/>
      <c r="E106" s="5"/>
      <c r="F106" s="148"/>
      <c r="G106" s="9"/>
      <c r="H106" s="74"/>
      <c r="I106" s="74"/>
      <c r="J106" s="74"/>
      <c r="K106" s="74"/>
      <c r="L106" s="74"/>
      <c r="M106" s="74"/>
      <c r="N106" s="74"/>
      <c r="O106" s="74"/>
      <c r="P106" s="74"/>
    </row>
    <row r="107" ht="15.75" customHeight="1">
      <c r="A107" s="5"/>
      <c r="B107" s="5"/>
      <c r="C107" s="5"/>
      <c r="D107" s="5"/>
      <c r="E107" s="5"/>
      <c r="F107" s="148"/>
      <c r="G107" s="9"/>
      <c r="H107" s="74"/>
      <c r="I107" s="74"/>
      <c r="J107" s="74"/>
      <c r="K107" s="74"/>
      <c r="L107" s="74"/>
      <c r="M107" s="74"/>
      <c r="N107" s="74"/>
      <c r="O107" s="74"/>
      <c r="P107" s="74"/>
    </row>
    <row r="108" ht="15.75" customHeight="1">
      <c r="A108" s="5"/>
      <c r="B108" s="5"/>
      <c r="C108" s="5"/>
      <c r="D108" s="5"/>
      <c r="E108" s="5"/>
      <c r="F108" s="148"/>
      <c r="G108" s="9"/>
      <c r="H108" s="74"/>
      <c r="I108" s="74"/>
      <c r="J108" s="74"/>
      <c r="K108" s="74"/>
      <c r="L108" s="74"/>
      <c r="M108" s="74"/>
      <c r="N108" s="74"/>
      <c r="O108" s="74"/>
      <c r="P108" s="74"/>
    </row>
    <row r="109" ht="15.75" customHeight="1">
      <c r="A109" s="5"/>
      <c r="B109" s="5"/>
      <c r="C109" s="5"/>
      <c r="D109" s="5"/>
      <c r="E109" s="5"/>
      <c r="F109" s="148"/>
      <c r="G109" s="9"/>
      <c r="H109" s="74"/>
      <c r="I109" s="74"/>
      <c r="J109" s="74"/>
      <c r="K109" s="74"/>
      <c r="L109" s="74"/>
      <c r="M109" s="74"/>
      <c r="N109" s="74"/>
      <c r="O109" s="74"/>
      <c r="P109" s="74"/>
    </row>
    <row r="110" ht="15.75" customHeight="1">
      <c r="A110" s="5"/>
      <c r="B110" s="5"/>
      <c r="C110" s="5"/>
      <c r="D110" s="5"/>
      <c r="E110" s="5"/>
      <c r="F110" s="148"/>
      <c r="G110" s="9"/>
      <c r="H110" s="74"/>
      <c r="I110" s="74"/>
      <c r="J110" s="74"/>
      <c r="K110" s="74"/>
      <c r="L110" s="74"/>
      <c r="M110" s="74"/>
      <c r="N110" s="74"/>
      <c r="O110" s="74"/>
      <c r="P110" s="74"/>
    </row>
    <row r="111" ht="15.75" customHeight="1">
      <c r="A111" s="5"/>
      <c r="B111" s="5"/>
      <c r="C111" s="5"/>
      <c r="D111" s="5"/>
      <c r="E111" s="5"/>
      <c r="F111" s="148"/>
      <c r="G111" s="9"/>
      <c r="H111" s="74"/>
      <c r="I111" s="74"/>
      <c r="J111" s="74"/>
      <c r="K111" s="74"/>
      <c r="L111" s="74"/>
      <c r="M111" s="74"/>
      <c r="N111" s="74"/>
      <c r="O111" s="74"/>
      <c r="P111" s="74"/>
    </row>
    <row r="112" ht="15.75" customHeight="1">
      <c r="A112" s="5"/>
      <c r="B112" s="5"/>
      <c r="C112" s="5"/>
      <c r="D112" s="5"/>
      <c r="E112" s="5"/>
      <c r="F112" s="148"/>
      <c r="G112" s="9"/>
      <c r="H112" s="74"/>
      <c r="I112" s="74"/>
      <c r="J112" s="74"/>
      <c r="K112" s="74"/>
      <c r="L112" s="74"/>
      <c r="M112" s="74"/>
      <c r="N112" s="74"/>
      <c r="O112" s="74"/>
      <c r="P112" s="74"/>
    </row>
    <row r="113" ht="15.75" customHeight="1">
      <c r="A113" s="5"/>
      <c r="B113" s="5"/>
      <c r="C113" s="5"/>
      <c r="D113" s="5"/>
      <c r="E113" s="5"/>
      <c r="F113" s="148"/>
      <c r="G113" s="9"/>
      <c r="H113" s="74"/>
      <c r="I113" s="74"/>
      <c r="J113" s="74"/>
      <c r="K113" s="74"/>
      <c r="L113" s="74"/>
      <c r="M113" s="74"/>
      <c r="N113" s="74"/>
      <c r="O113" s="74"/>
      <c r="P113" s="74"/>
    </row>
    <row r="114" ht="15.75" customHeight="1">
      <c r="A114" s="5"/>
      <c r="B114" s="5"/>
      <c r="C114" s="5"/>
      <c r="D114" s="5"/>
      <c r="E114" s="5"/>
      <c r="F114" s="148"/>
      <c r="G114" s="9"/>
      <c r="H114" s="74"/>
      <c r="I114" s="74"/>
      <c r="J114" s="74"/>
      <c r="K114" s="74"/>
      <c r="L114" s="74"/>
      <c r="M114" s="74"/>
      <c r="N114" s="74"/>
      <c r="O114" s="74"/>
      <c r="P114" s="74"/>
    </row>
    <row r="115" ht="15.75" customHeight="1">
      <c r="A115" s="5"/>
      <c r="B115" s="5"/>
      <c r="C115" s="5"/>
      <c r="D115" s="5"/>
      <c r="E115" s="5"/>
      <c r="F115" s="148"/>
      <c r="G115" s="9"/>
      <c r="H115" s="74"/>
      <c r="I115" s="74"/>
      <c r="J115" s="74"/>
      <c r="K115" s="74"/>
      <c r="L115" s="74"/>
      <c r="M115" s="74"/>
      <c r="N115" s="74"/>
      <c r="O115" s="74"/>
      <c r="P115" s="74"/>
    </row>
    <row r="116" ht="15.75" customHeight="1">
      <c r="A116" s="5"/>
      <c r="B116" s="5"/>
      <c r="C116" s="5"/>
      <c r="D116" s="5"/>
      <c r="E116" s="5"/>
      <c r="F116" s="148"/>
      <c r="G116" s="9"/>
      <c r="H116" s="74"/>
      <c r="I116" s="74"/>
      <c r="J116" s="74"/>
      <c r="K116" s="74"/>
      <c r="L116" s="74"/>
      <c r="M116" s="74"/>
      <c r="N116" s="74"/>
      <c r="O116" s="74"/>
      <c r="P116" s="74"/>
    </row>
    <row r="117" ht="15.75" customHeight="1">
      <c r="A117" s="5"/>
      <c r="B117" s="5"/>
      <c r="C117" s="5"/>
      <c r="D117" s="5"/>
      <c r="E117" s="5"/>
      <c r="F117" s="148"/>
      <c r="G117" s="9"/>
      <c r="H117" s="74"/>
      <c r="I117" s="74"/>
      <c r="J117" s="74"/>
      <c r="K117" s="74"/>
      <c r="L117" s="74"/>
      <c r="M117" s="74"/>
      <c r="N117" s="74"/>
      <c r="O117" s="74"/>
      <c r="P117" s="74"/>
    </row>
    <row r="118" ht="15.75" customHeight="1">
      <c r="A118" s="5"/>
      <c r="B118" s="5"/>
      <c r="C118" s="5"/>
      <c r="D118" s="5"/>
      <c r="E118" s="5"/>
      <c r="F118" s="148"/>
      <c r="G118" s="9"/>
      <c r="H118" s="74"/>
      <c r="I118" s="74"/>
      <c r="J118" s="74"/>
      <c r="K118" s="74"/>
      <c r="L118" s="74"/>
      <c r="M118" s="74"/>
      <c r="N118" s="74"/>
      <c r="O118" s="74"/>
      <c r="P118" s="74"/>
    </row>
    <row r="119" ht="15.75" customHeight="1">
      <c r="A119" s="5"/>
      <c r="B119" s="5"/>
      <c r="C119" s="5"/>
      <c r="D119" s="5"/>
      <c r="E119" s="5"/>
      <c r="F119" s="148"/>
      <c r="G119" s="9"/>
      <c r="H119" s="74"/>
      <c r="I119" s="74"/>
      <c r="J119" s="74"/>
      <c r="K119" s="74"/>
      <c r="L119" s="74"/>
      <c r="M119" s="74"/>
      <c r="N119" s="74"/>
      <c r="O119" s="74"/>
      <c r="P119" s="74"/>
    </row>
    <row r="120" ht="15.75" customHeight="1">
      <c r="A120" s="5"/>
      <c r="B120" s="5"/>
      <c r="C120" s="5"/>
      <c r="D120" s="5"/>
      <c r="E120" s="5"/>
      <c r="F120" s="148"/>
      <c r="G120" s="9"/>
      <c r="H120" s="74"/>
      <c r="I120" s="74"/>
      <c r="J120" s="74"/>
      <c r="K120" s="74"/>
      <c r="L120" s="74"/>
      <c r="M120" s="74"/>
      <c r="N120" s="74"/>
      <c r="O120" s="74"/>
      <c r="P120" s="74"/>
    </row>
    <row r="121" ht="15.75" customHeight="1">
      <c r="A121" s="5"/>
      <c r="B121" s="5"/>
      <c r="C121" s="5"/>
      <c r="D121" s="5"/>
      <c r="E121" s="5"/>
      <c r="F121" s="148"/>
      <c r="G121" s="9"/>
      <c r="H121" s="74"/>
      <c r="I121" s="74"/>
      <c r="J121" s="74"/>
      <c r="K121" s="74"/>
      <c r="L121" s="74"/>
      <c r="M121" s="74"/>
      <c r="N121" s="74"/>
      <c r="O121" s="74"/>
      <c r="P121" s="74"/>
    </row>
    <row r="122" ht="15.75" customHeight="1">
      <c r="A122" s="5"/>
      <c r="B122" s="5"/>
      <c r="C122" s="5"/>
      <c r="D122" s="5"/>
      <c r="E122" s="5"/>
      <c r="F122" s="148"/>
      <c r="G122" s="9"/>
      <c r="H122" s="74"/>
      <c r="I122" s="74"/>
      <c r="J122" s="74"/>
      <c r="K122" s="74"/>
      <c r="L122" s="74"/>
      <c r="M122" s="74"/>
      <c r="N122" s="74"/>
      <c r="O122" s="74"/>
      <c r="P122" s="74"/>
    </row>
    <row r="123" ht="15.75" customHeight="1">
      <c r="A123" s="5"/>
      <c r="B123" s="5"/>
      <c r="C123" s="5"/>
      <c r="D123" s="5"/>
      <c r="E123" s="5"/>
      <c r="F123" s="148"/>
      <c r="G123" s="9"/>
      <c r="H123" s="74"/>
      <c r="I123" s="74"/>
      <c r="J123" s="74"/>
      <c r="K123" s="74"/>
      <c r="L123" s="74"/>
      <c r="M123" s="74"/>
      <c r="N123" s="74"/>
      <c r="O123" s="74"/>
      <c r="P123" s="74"/>
    </row>
    <row r="124" ht="15.75" customHeight="1">
      <c r="A124" s="5"/>
      <c r="B124" s="5"/>
      <c r="C124" s="5"/>
      <c r="D124" s="5"/>
      <c r="E124" s="5"/>
      <c r="F124" s="148"/>
      <c r="G124" s="9"/>
      <c r="H124" s="74"/>
      <c r="I124" s="74"/>
      <c r="J124" s="74"/>
      <c r="K124" s="74"/>
      <c r="L124" s="74"/>
      <c r="M124" s="74"/>
      <c r="N124" s="74"/>
      <c r="O124" s="74"/>
      <c r="P124" s="74"/>
    </row>
    <row r="125" ht="15.75" customHeight="1">
      <c r="A125" s="5"/>
      <c r="B125" s="5"/>
      <c r="C125" s="5"/>
      <c r="D125" s="5"/>
      <c r="E125" s="5"/>
      <c r="F125" s="148"/>
      <c r="G125" s="9"/>
      <c r="H125" s="74"/>
      <c r="I125" s="74"/>
      <c r="J125" s="74"/>
      <c r="K125" s="74"/>
      <c r="L125" s="74"/>
      <c r="M125" s="74"/>
      <c r="N125" s="74"/>
      <c r="O125" s="74"/>
      <c r="P125" s="74"/>
    </row>
    <row r="126" ht="15.75" customHeight="1">
      <c r="A126" s="5"/>
      <c r="B126" s="5"/>
      <c r="C126" s="5"/>
      <c r="D126" s="5"/>
      <c r="E126" s="5"/>
      <c r="F126" s="148"/>
      <c r="G126" s="9"/>
      <c r="H126" s="74"/>
      <c r="I126" s="74"/>
      <c r="J126" s="74"/>
      <c r="K126" s="74"/>
      <c r="L126" s="74"/>
      <c r="M126" s="74"/>
      <c r="N126" s="74"/>
      <c r="O126" s="74"/>
      <c r="P126" s="74"/>
    </row>
    <row r="127" ht="15.75" customHeight="1">
      <c r="A127" s="5"/>
      <c r="B127" s="5"/>
      <c r="C127" s="5"/>
      <c r="D127" s="5"/>
      <c r="E127" s="5"/>
      <c r="F127" s="148"/>
      <c r="G127" s="9"/>
      <c r="H127" s="74"/>
      <c r="I127" s="74"/>
      <c r="J127" s="74"/>
      <c r="K127" s="74"/>
      <c r="L127" s="74"/>
      <c r="M127" s="74"/>
      <c r="N127" s="74"/>
      <c r="O127" s="74"/>
      <c r="P127" s="74"/>
    </row>
    <row r="128" ht="15.75" customHeight="1">
      <c r="A128" s="5"/>
      <c r="B128" s="5"/>
      <c r="C128" s="5"/>
      <c r="D128" s="5"/>
      <c r="E128" s="5"/>
      <c r="F128" s="148"/>
      <c r="G128" s="9"/>
      <c r="H128" s="74"/>
      <c r="I128" s="74"/>
      <c r="J128" s="74"/>
      <c r="K128" s="74"/>
      <c r="L128" s="74"/>
      <c r="M128" s="74"/>
      <c r="N128" s="74"/>
      <c r="O128" s="74"/>
      <c r="P128" s="74"/>
    </row>
    <row r="129" ht="15.75" customHeight="1">
      <c r="A129" s="5"/>
      <c r="B129" s="5"/>
      <c r="C129" s="5"/>
      <c r="D129" s="5"/>
      <c r="E129" s="5"/>
      <c r="F129" s="148"/>
      <c r="G129" s="9"/>
      <c r="H129" s="74"/>
      <c r="I129" s="74"/>
      <c r="J129" s="74"/>
      <c r="K129" s="74"/>
      <c r="L129" s="74"/>
      <c r="M129" s="74"/>
      <c r="N129" s="74"/>
      <c r="O129" s="74"/>
      <c r="P129" s="74"/>
    </row>
    <row r="130" ht="15.75" customHeight="1">
      <c r="A130" s="5"/>
      <c r="B130" s="5"/>
      <c r="C130" s="5"/>
      <c r="D130" s="5"/>
      <c r="E130" s="5"/>
      <c r="F130" s="148"/>
      <c r="G130" s="9"/>
      <c r="H130" s="74"/>
      <c r="I130" s="74"/>
      <c r="J130" s="74"/>
      <c r="K130" s="74"/>
      <c r="L130" s="74"/>
      <c r="M130" s="74"/>
      <c r="N130" s="74"/>
      <c r="O130" s="74"/>
      <c r="P130" s="74"/>
    </row>
    <row r="131" ht="15.75" customHeight="1">
      <c r="A131" s="5"/>
      <c r="B131" s="5"/>
      <c r="C131" s="5"/>
      <c r="D131" s="5"/>
      <c r="E131" s="5"/>
      <c r="F131" s="148"/>
      <c r="G131" s="9"/>
      <c r="H131" s="74"/>
      <c r="I131" s="74"/>
      <c r="J131" s="74"/>
      <c r="K131" s="74"/>
      <c r="L131" s="74"/>
      <c r="M131" s="74"/>
      <c r="N131" s="74"/>
      <c r="O131" s="74"/>
      <c r="P131" s="74"/>
    </row>
    <row r="132" ht="15.75" customHeight="1">
      <c r="A132" s="5"/>
      <c r="B132" s="5"/>
      <c r="C132" s="5"/>
      <c r="D132" s="5"/>
      <c r="E132" s="5"/>
      <c r="F132" s="148"/>
      <c r="G132" s="9"/>
      <c r="H132" s="74"/>
      <c r="I132" s="74"/>
      <c r="J132" s="74"/>
      <c r="K132" s="74"/>
      <c r="L132" s="74"/>
      <c r="M132" s="74"/>
      <c r="N132" s="74"/>
      <c r="O132" s="74"/>
      <c r="P132" s="74"/>
    </row>
    <row r="133" ht="15.75" customHeight="1">
      <c r="A133" s="5"/>
      <c r="B133" s="5"/>
      <c r="C133" s="5"/>
      <c r="D133" s="5"/>
      <c r="E133" s="5"/>
      <c r="F133" s="148"/>
      <c r="G133" s="9"/>
      <c r="H133" s="74"/>
      <c r="I133" s="74"/>
      <c r="J133" s="74"/>
      <c r="K133" s="74"/>
      <c r="L133" s="74"/>
      <c r="M133" s="74"/>
      <c r="N133" s="74"/>
      <c r="O133" s="74"/>
      <c r="P133" s="74"/>
    </row>
    <row r="134" ht="15.75" customHeight="1">
      <c r="A134" s="5"/>
      <c r="B134" s="5"/>
      <c r="C134" s="5"/>
      <c r="D134" s="5"/>
      <c r="E134" s="5"/>
      <c r="F134" s="148"/>
      <c r="G134" s="9"/>
      <c r="H134" s="74"/>
      <c r="I134" s="74"/>
      <c r="J134" s="74"/>
      <c r="K134" s="74"/>
      <c r="L134" s="74"/>
      <c r="M134" s="74"/>
      <c r="N134" s="74"/>
      <c r="O134" s="74"/>
      <c r="P134" s="74"/>
    </row>
    <row r="135" ht="15.75" customHeight="1">
      <c r="A135" s="5"/>
      <c r="B135" s="5"/>
      <c r="C135" s="5"/>
      <c r="D135" s="5"/>
      <c r="E135" s="5"/>
      <c r="F135" s="148"/>
      <c r="G135" s="9"/>
      <c r="H135" s="74"/>
      <c r="I135" s="74"/>
      <c r="J135" s="74"/>
      <c r="K135" s="74"/>
      <c r="L135" s="74"/>
      <c r="M135" s="74"/>
      <c r="N135" s="74"/>
      <c r="O135" s="74"/>
      <c r="P135" s="74"/>
    </row>
    <row r="136" ht="15.75" customHeight="1">
      <c r="A136" s="5"/>
      <c r="B136" s="5"/>
      <c r="C136" s="5"/>
      <c r="D136" s="5"/>
      <c r="E136" s="5"/>
      <c r="F136" s="148"/>
      <c r="G136" s="9"/>
      <c r="H136" s="74"/>
      <c r="I136" s="74"/>
      <c r="J136" s="74"/>
      <c r="K136" s="74"/>
      <c r="L136" s="74"/>
      <c r="M136" s="74"/>
      <c r="N136" s="74"/>
      <c r="O136" s="74"/>
      <c r="P136" s="74"/>
    </row>
    <row r="137" ht="15.75" customHeight="1">
      <c r="A137" s="5"/>
      <c r="B137" s="5"/>
      <c r="C137" s="5"/>
      <c r="D137" s="5"/>
      <c r="E137" s="5"/>
      <c r="F137" s="148"/>
      <c r="G137" s="9"/>
      <c r="H137" s="74"/>
      <c r="I137" s="74"/>
      <c r="J137" s="74"/>
      <c r="K137" s="74"/>
      <c r="L137" s="74"/>
      <c r="M137" s="74"/>
      <c r="N137" s="74"/>
      <c r="O137" s="74"/>
      <c r="P137" s="74"/>
    </row>
    <row r="138" ht="15.75" customHeight="1">
      <c r="A138" s="5"/>
      <c r="B138" s="5"/>
      <c r="C138" s="5"/>
      <c r="D138" s="5"/>
      <c r="E138" s="5"/>
      <c r="F138" s="148"/>
      <c r="G138" s="9"/>
      <c r="H138" s="74"/>
      <c r="I138" s="74"/>
      <c r="J138" s="74"/>
      <c r="K138" s="74"/>
      <c r="L138" s="74"/>
      <c r="M138" s="74"/>
      <c r="N138" s="74"/>
      <c r="O138" s="74"/>
      <c r="P138" s="74"/>
    </row>
    <row r="139" ht="15.75" customHeight="1">
      <c r="A139" s="5"/>
      <c r="B139" s="5"/>
      <c r="C139" s="5"/>
      <c r="D139" s="5"/>
      <c r="E139" s="5"/>
      <c r="F139" s="148"/>
      <c r="G139" s="9"/>
      <c r="H139" s="74"/>
      <c r="I139" s="74"/>
      <c r="J139" s="74"/>
      <c r="K139" s="74"/>
      <c r="L139" s="74"/>
      <c r="M139" s="74"/>
      <c r="N139" s="74"/>
      <c r="O139" s="74"/>
      <c r="P139" s="74"/>
    </row>
    <row r="140" ht="15.75" customHeight="1">
      <c r="A140" s="5"/>
      <c r="B140" s="5"/>
      <c r="C140" s="5"/>
      <c r="D140" s="5"/>
      <c r="E140" s="5"/>
      <c r="F140" s="148"/>
      <c r="G140" s="9"/>
      <c r="H140" s="74"/>
      <c r="I140" s="74"/>
      <c r="J140" s="74"/>
      <c r="K140" s="74"/>
      <c r="L140" s="74"/>
      <c r="M140" s="74"/>
      <c r="N140" s="74"/>
      <c r="O140" s="74"/>
      <c r="P140" s="74"/>
    </row>
    <row r="141" ht="15.75" customHeight="1">
      <c r="A141" s="5"/>
      <c r="B141" s="5"/>
      <c r="C141" s="5"/>
      <c r="D141" s="5"/>
      <c r="E141" s="5"/>
      <c r="F141" s="148"/>
      <c r="G141" s="9"/>
      <c r="H141" s="74"/>
      <c r="I141" s="74"/>
      <c r="J141" s="74"/>
      <c r="K141" s="74"/>
      <c r="L141" s="74"/>
      <c r="M141" s="74"/>
      <c r="N141" s="74"/>
      <c r="O141" s="74"/>
      <c r="P141" s="74"/>
    </row>
    <row r="142" ht="15.75" customHeight="1">
      <c r="A142" s="5"/>
      <c r="B142" s="5"/>
      <c r="C142" s="5"/>
      <c r="D142" s="5"/>
      <c r="E142" s="5"/>
      <c r="F142" s="148"/>
      <c r="G142" s="9"/>
      <c r="H142" s="74"/>
      <c r="I142" s="74"/>
      <c r="J142" s="74"/>
      <c r="K142" s="74"/>
      <c r="L142" s="74"/>
      <c r="M142" s="74"/>
      <c r="N142" s="74"/>
      <c r="O142" s="74"/>
      <c r="P142" s="74"/>
    </row>
    <row r="143" ht="15.75" customHeight="1">
      <c r="A143" s="5"/>
      <c r="B143" s="5"/>
      <c r="C143" s="5"/>
      <c r="D143" s="5"/>
      <c r="E143" s="5"/>
      <c r="F143" s="148"/>
      <c r="G143" s="9"/>
      <c r="H143" s="74"/>
      <c r="I143" s="74"/>
      <c r="J143" s="74"/>
      <c r="K143" s="74"/>
      <c r="L143" s="74"/>
      <c r="M143" s="74"/>
      <c r="N143" s="74"/>
      <c r="O143" s="74"/>
      <c r="P143" s="74"/>
    </row>
    <row r="144" ht="15.75" customHeight="1">
      <c r="A144" s="5"/>
      <c r="B144" s="5"/>
      <c r="C144" s="5"/>
      <c r="D144" s="5"/>
      <c r="E144" s="5"/>
      <c r="F144" s="148"/>
      <c r="G144" s="9"/>
      <c r="H144" s="74"/>
      <c r="I144" s="74"/>
      <c r="J144" s="74"/>
      <c r="K144" s="74"/>
      <c r="L144" s="74"/>
      <c r="M144" s="74"/>
      <c r="N144" s="74"/>
      <c r="O144" s="74"/>
      <c r="P144" s="74"/>
    </row>
    <row r="145" ht="15.75" customHeight="1">
      <c r="A145" s="5"/>
      <c r="B145" s="5"/>
      <c r="C145" s="5"/>
      <c r="D145" s="5"/>
      <c r="E145" s="5"/>
      <c r="F145" s="148"/>
      <c r="G145" s="9"/>
      <c r="H145" s="74"/>
      <c r="I145" s="74"/>
      <c r="J145" s="74"/>
      <c r="K145" s="74"/>
      <c r="L145" s="74"/>
      <c r="M145" s="74"/>
      <c r="N145" s="74"/>
      <c r="O145" s="74"/>
      <c r="P145" s="74"/>
    </row>
    <row r="146" ht="15.75" customHeight="1">
      <c r="A146" s="5"/>
      <c r="B146" s="5"/>
      <c r="C146" s="5"/>
      <c r="D146" s="5"/>
      <c r="E146" s="5"/>
      <c r="F146" s="148"/>
      <c r="G146" s="9"/>
      <c r="H146" s="74"/>
      <c r="I146" s="74"/>
      <c r="J146" s="74"/>
      <c r="K146" s="74"/>
      <c r="L146" s="74"/>
      <c r="M146" s="74"/>
      <c r="N146" s="74"/>
      <c r="O146" s="74"/>
      <c r="P146" s="74"/>
    </row>
    <row r="147" ht="15.75" customHeight="1">
      <c r="A147" s="5"/>
      <c r="B147" s="5"/>
      <c r="C147" s="5"/>
      <c r="D147" s="5"/>
      <c r="E147" s="5"/>
      <c r="F147" s="148"/>
      <c r="G147" s="9"/>
      <c r="H147" s="74"/>
      <c r="I147" s="74"/>
      <c r="J147" s="74"/>
      <c r="K147" s="74"/>
      <c r="L147" s="74"/>
      <c r="M147" s="74"/>
      <c r="N147" s="74"/>
      <c r="O147" s="74"/>
      <c r="P147" s="74"/>
    </row>
    <row r="148" ht="15.75" customHeight="1">
      <c r="A148" s="5"/>
      <c r="B148" s="5"/>
      <c r="C148" s="5"/>
      <c r="D148" s="5"/>
      <c r="E148" s="5"/>
      <c r="F148" s="148"/>
      <c r="G148" s="9"/>
      <c r="H148" s="74"/>
      <c r="I148" s="74"/>
      <c r="J148" s="74"/>
      <c r="K148" s="74"/>
      <c r="L148" s="74"/>
      <c r="M148" s="74"/>
      <c r="N148" s="74"/>
      <c r="O148" s="74"/>
      <c r="P148" s="74"/>
    </row>
    <row r="149" ht="15.75" customHeight="1">
      <c r="A149" s="5"/>
      <c r="B149" s="5"/>
      <c r="C149" s="5"/>
      <c r="D149" s="5"/>
      <c r="E149" s="5"/>
      <c r="F149" s="148"/>
      <c r="G149" s="9"/>
      <c r="H149" s="74"/>
      <c r="I149" s="74"/>
      <c r="J149" s="74"/>
      <c r="K149" s="74"/>
      <c r="L149" s="74"/>
      <c r="M149" s="74"/>
      <c r="N149" s="74"/>
      <c r="O149" s="74"/>
      <c r="P149" s="74"/>
    </row>
    <row r="150" ht="15.75" customHeight="1">
      <c r="A150" s="5"/>
      <c r="B150" s="5"/>
      <c r="C150" s="5"/>
      <c r="D150" s="5"/>
      <c r="E150" s="5"/>
      <c r="F150" s="148"/>
      <c r="G150" s="9"/>
      <c r="H150" s="74"/>
      <c r="I150" s="74"/>
      <c r="J150" s="74"/>
      <c r="K150" s="74"/>
      <c r="L150" s="74"/>
      <c r="M150" s="74"/>
      <c r="N150" s="74"/>
      <c r="O150" s="74"/>
      <c r="P150" s="74"/>
    </row>
    <row r="151" ht="15.75" customHeight="1">
      <c r="A151" s="5"/>
      <c r="B151" s="5"/>
      <c r="C151" s="5"/>
      <c r="D151" s="5"/>
      <c r="E151" s="5"/>
      <c r="F151" s="148"/>
      <c r="G151" s="9"/>
      <c r="H151" s="74"/>
      <c r="I151" s="74"/>
      <c r="J151" s="74"/>
      <c r="K151" s="74"/>
      <c r="L151" s="74"/>
      <c r="M151" s="74"/>
      <c r="N151" s="74"/>
      <c r="O151" s="74"/>
      <c r="P151" s="74"/>
    </row>
    <row r="152" ht="15.75" customHeight="1">
      <c r="A152" s="5"/>
      <c r="B152" s="5"/>
      <c r="C152" s="5"/>
      <c r="D152" s="5"/>
      <c r="E152" s="5"/>
      <c r="F152" s="148"/>
      <c r="G152" s="9"/>
      <c r="H152" s="74"/>
      <c r="I152" s="74"/>
      <c r="J152" s="74"/>
      <c r="K152" s="74"/>
      <c r="L152" s="74"/>
      <c r="M152" s="74"/>
      <c r="N152" s="74"/>
      <c r="O152" s="74"/>
      <c r="P152" s="74"/>
    </row>
    <row r="153" ht="15.75" customHeight="1">
      <c r="A153" s="5"/>
      <c r="B153" s="5"/>
      <c r="C153" s="5"/>
      <c r="D153" s="5"/>
      <c r="E153" s="5"/>
      <c r="F153" s="148"/>
      <c r="G153" s="9"/>
      <c r="H153" s="74"/>
      <c r="I153" s="74"/>
      <c r="J153" s="74"/>
      <c r="K153" s="74"/>
      <c r="L153" s="74"/>
      <c r="M153" s="74"/>
      <c r="N153" s="74"/>
      <c r="O153" s="74"/>
      <c r="P153" s="74"/>
    </row>
    <row r="154" ht="15.75" customHeight="1">
      <c r="A154" s="5"/>
      <c r="B154" s="5"/>
      <c r="C154" s="5"/>
      <c r="D154" s="5"/>
      <c r="E154" s="5"/>
      <c r="F154" s="148"/>
      <c r="G154" s="9"/>
      <c r="H154" s="74"/>
      <c r="I154" s="74"/>
      <c r="J154" s="74"/>
      <c r="K154" s="74"/>
      <c r="L154" s="74"/>
      <c r="M154" s="74"/>
      <c r="N154" s="74"/>
      <c r="O154" s="74"/>
      <c r="P154" s="74"/>
    </row>
    <row r="155" ht="15.75" customHeight="1">
      <c r="A155" s="5"/>
      <c r="B155" s="5"/>
      <c r="C155" s="5"/>
      <c r="D155" s="5"/>
      <c r="E155" s="5"/>
      <c r="F155" s="148"/>
      <c r="G155" s="9"/>
      <c r="H155" s="74"/>
      <c r="I155" s="74"/>
      <c r="J155" s="74"/>
      <c r="K155" s="74"/>
      <c r="L155" s="74"/>
      <c r="M155" s="74"/>
      <c r="N155" s="74"/>
      <c r="O155" s="74"/>
      <c r="P155" s="74"/>
    </row>
    <row r="156" ht="15.75" customHeight="1">
      <c r="A156" s="5"/>
      <c r="B156" s="5"/>
      <c r="C156" s="5"/>
      <c r="D156" s="5"/>
      <c r="E156" s="5"/>
      <c r="F156" s="148"/>
      <c r="G156" s="9"/>
      <c r="H156" s="74"/>
      <c r="I156" s="74"/>
      <c r="J156" s="74"/>
      <c r="K156" s="74"/>
      <c r="L156" s="74"/>
      <c r="M156" s="74"/>
      <c r="N156" s="74"/>
      <c r="O156" s="74"/>
      <c r="P156" s="74"/>
    </row>
    <row r="157" ht="15.75" customHeight="1">
      <c r="A157" s="5"/>
      <c r="B157" s="5"/>
      <c r="C157" s="5"/>
      <c r="D157" s="5"/>
      <c r="E157" s="5"/>
      <c r="F157" s="148"/>
      <c r="G157" s="9"/>
      <c r="H157" s="74"/>
      <c r="I157" s="74"/>
      <c r="J157" s="74"/>
      <c r="K157" s="74"/>
      <c r="L157" s="74"/>
      <c r="M157" s="74"/>
      <c r="N157" s="74"/>
      <c r="O157" s="74"/>
      <c r="P157" s="74"/>
    </row>
    <row r="158" ht="15.75" customHeight="1">
      <c r="A158" s="5"/>
      <c r="B158" s="5"/>
      <c r="C158" s="5"/>
      <c r="D158" s="5"/>
      <c r="E158" s="5"/>
      <c r="F158" s="148"/>
      <c r="G158" s="9"/>
      <c r="H158" s="74"/>
      <c r="I158" s="74"/>
      <c r="J158" s="74"/>
      <c r="K158" s="74"/>
      <c r="L158" s="74"/>
      <c r="M158" s="74"/>
      <c r="N158" s="74"/>
      <c r="O158" s="74"/>
      <c r="P158" s="74"/>
    </row>
    <row r="159" ht="15.75" customHeight="1">
      <c r="A159" s="5"/>
      <c r="B159" s="5"/>
      <c r="C159" s="5"/>
      <c r="D159" s="5"/>
      <c r="E159" s="5"/>
      <c r="F159" s="148"/>
      <c r="G159" s="9"/>
      <c r="H159" s="74"/>
      <c r="I159" s="74"/>
      <c r="J159" s="74"/>
      <c r="K159" s="74"/>
      <c r="L159" s="74"/>
      <c r="M159" s="74"/>
      <c r="N159" s="74"/>
      <c r="O159" s="74"/>
      <c r="P159" s="74"/>
    </row>
    <row r="160" ht="15.75" customHeight="1">
      <c r="A160" s="5"/>
      <c r="B160" s="5"/>
      <c r="C160" s="5"/>
      <c r="D160" s="5"/>
      <c r="E160" s="5"/>
      <c r="F160" s="148"/>
      <c r="G160" s="9"/>
      <c r="H160" s="74"/>
      <c r="I160" s="74"/>
      <c r="J160" s="74"/>
      <c r="K160" s="74"/>
      <c r="L160" s="74"/>
      <c r="M160" s="74"/>
      <c r="N160" s="74"/>
      <c r="O160" s="74"/>
      <c r="P160" s="74"/>
    </row>
    <row r="161" ht="15.75" customHeight="1">
      <c r="A161" s="5"/>
      <c r="B161" s="5"/>
      <c r="C161" s="5"/>
      <c r="D161" s="5"/>
      <c r="E161" s="5"/>
      <c r="F161" s="148"/>
      <c r="G161" s="9"/>
      <c r="H161" s="74"/>
      <c r="I161" s="74"/>
      <c r="J161" s="74"/>
      <c r="K161" s="74"/>
      <c r="L161" s="74"/>
      <c r="M161" s="74"/>
      <c r="N161" s="74"/>
      <c r="O161" s="74"/>
      <c r="P161" s="74"/>
    </row>
    <row r="162" ht="15.75" customHeight="1">
      <c r="A162" s="5"/>
      <c r="B162" s="5"/>
      <c r="C162" s="5"/>
      <c r="D162" s="5"/>
      <c r="E162" s="5"/>
      <c r="F162" s="148"/>
      <c r="G162" s="9"/>
      <c r="H162" s="74"/>
      <c r="I162" s="74"/>
      <c r="J162" s="74"/>
      <c r="K162" s="74"/>
      <c r="L162" s="74"/>
      <c r="M162" s="74"/>
      <c r="N162" s="74"/>
      <c r="O162" s="74"/>
      <c r="P162" s="74"/>
    </row>
    <row r="163" ht="15.75" customHeight="1">
      <c r="A163" s="5"/>
      <c r="B163" s="5"/>
      <c r="C163" s="5"/>
      <c r="D163" s="5"/>
      <c r="E163" s="5"/>
      <c r="F163" s="148"/>
      <c r="G163" s="9"/>
      <c r="H163" s="74"/>
      <c r="I163" s="74"/>
      <c r="J163" s="74"/>
      <c r="K163" s="74"/>
      <c r="L163" s="74"/>
      <c r="M163" s="74"/>
      <c r="N163" s="74"/>
      <c r="O163" s="74"/>
      <c r="P163" s="74"/>
    </row>
    <row r="164" ht="15.75" customHeight="1">
      <c r="A164" s="5"/>
      <c r="B164" s="5"/>
      <c r="C164" s="5"/>
      <c r="D164" s="5"/>
      <c r="E164" s="5"/>
      <c r="F164" s="148"/>
      <c r="G164" s="9"/>
      <c r="H164" s="74"/>
      <c r="I164" s="74"/>
      <c r="J164" s="74"/>
      <c r="K164" s="74"/>
      <c r="L164" s="74"/>
      <c r="M164" s="74"/>
      <c r="N164" s="74"/>
      <c r="O164" s="74"/>
      <c r="P164" s="74"/>
    </row>
    <row r="165" ht="15.75" customHeight="1">
      <c r="A165" s="5"/>
      <c r="B165" s="5"/>
      <c r="C165" s="5"/>
      <c r="D165" s="5"/>
      <c r="E165" s="5"/>
      <c r="F165" s="148"/>
      <c r="G165" s="9"/>
      <c r="H165" s="74"/>
      <c r="I165" s="74"/>
      <c r="J165" s="74"/>
      <c r="K165" s="74"/>
      <c r="L165" s="74"/>
      <c r="M165" s="74"/>
      <c r="N165" s="74"/>
      <c r="O165" s="74"/>
      <c r="P165" s="74"/>
    </row>
    <row r="166" ht="15.75" customHeight="1">
      <c r="A166" s="5"/>
      <c r="B166" s="5"/>
      <c r="C166" s="5"/>
      <c r="D166" s="5"/>
      <c r="E166" s="5"/>
      <c r="F166" s="148"/>
      <c r="G166" s="9"/>
      <c r="H166" s="74"/>
      <c r="I166" s="74"/>
      <c r="J166" s="74"/>
      <c r="K166" s="74"/>
      <c r="L166" s="74"/>
      <c r="M166" s="74"/>
      <c r="N166" s="74"/>
      <c r="O166" s="74"/>
      <c r="P166" s="74"/>
    </row>
    <row r="167" ht="15.75" customHeight="1">
      <c r="A167" s="5"/>
      <c r="B167" s="5"/>
      <c r="C167" s="5"/>
      <c r="D167" s="5"/>
      <c r="E167" s="5"/>
      <c r="F167" s="148"/>
      <c r="G167" s="9"/>
      <c r="H167" s="74"/>
      <c r="I167" s="74"/>
      <c r="J167" s="74"/>
      <c r="K167" s="74"/>
      <c r="L167" s="74"/>
      <c r="M167" s="74"/>
      <c r="N167" s="74"/>
      <c r="O167" s="74"/>
      <c r="P167" s="74"/>
    </row>
    <row r="168" ht="15.75" customHeight="1">
      <c r="A168" s="5"/>
      <c r="B168" s="5"/>
      <c r="C168" s="5"/>
      <c r="D168" s="5"/>
      <c r="E168" s="5"/>
      <c r="F168" s="148"/>
      <c r="G168" s="9"/>
      <c r="H168" s="74"/>
      <c r="I168" s="74"/>
      <c r="J168" s="74"/>
      <c r="K168" s="74"/>
      <c r="L168" s="74"/>
      <c r="M168" s="74"/>
      <c r="N168" s="74"/>
      <c r="O168" s="74"/>
      <c r="P168" s="74"/>
    </row>
    <row r="169" ht="15.75" customHeight="1">
      <c r="A169" s="5"/>
      <c r="B169" s="5"/>
      <c r="C169" s="5"/>
      <c r="D169" s="5"/>
      <c r="E169" s="5"/>
      <c r="F169" s="148"/>
      <c r="G169" s="9"/>
      <c r="H169" s="74"/>
      <c r="I169" s="74"/>
      <c r="J169" s="74"/>
      <c r="K169" s="74"/>
      <c r="L169" s="74"/>
      <c r="M169" s="74"/>
      <c r="N169" s="74"/>
      <c r="O169" s="74"/>
      <c r="P169" s="74"/>
    </row>
    <row r="170" ht="15.75" customHeight="1">
      <c r="A170" s="5"/>
      <c r="B170" s="5"/>
      <c r="C170" s="5"/>
      <c r="D170" s="5"/>
      <c r="E170" s="5"/>
      <c r="F170" s="148"/>
      <c r="G170" s="9"/>
      <c r="H170" s="74"/>
      <c r="I170" s="74"/>
      <c r="J170" s="74"/>
      <c r="K170" s="74"/>
      <c r="L170" s="74"/>
      <c r="M170" s="74"/>
      <c r="N170" s="74"/>
      <c r="O170" s="74"/>
      <c r="P170" s="74"/>
    </row>
    <row r="171" ht="15.75" customHeight="1">
      <c r="A171" s="5"/>
      <c r="B171" s="5"/>
      <c r="C171" s="5"/>
      <c r="D171" s="5"/>
      <c r="E171" s="5"/>
      <c r="F171" s="148"/>
      <c r="G171" s="9"/>
      <c r="H171" s="74"/>
      <c r="I171" s="74"/>
      <c r="J171" s="74"/>
      <c r="K171" s="74"/>
      <c r="L171" s="74"/>
      <c r="M171" s="74"/>
      <c r="N171" s="74"/>
      <c r="O171" s="74"/>
      <c r="P171" s="74"/>
    </row>
    <row r="172" ht="15.75" customHeight="1">
      <c r="A172" s="5"/>
      <c r="B172" s="5"/>
      <c r="C172" s="5"/>
      <c r="D172" s="5"/>
      <c r="E172" s="5"/>
      <c r="F172" s="148"/>
      <c r="G172" s="9"/>
      <c r="H172" s="74"/>
      <c r="I172" s="74"/>
      <c r="J172" s="74"/>
      <c r="K172" s="74"/>
      <c r="L172" s="74"/>
      <c r="M172" s="74"/>
      <c r="N172" s="74"/>
      <c r="O172" s="74"/>
      <c r="P172" s="74"/>
    </row>
    <row r="173" ht="15.75" customHeight="1">
      <c r="A173" s="5"/>
      <c r="B173" s="5"/>
      <c r="C173" s="5"/>
      <c r="D173" s="5"/>
      <c r="E173" s="5"/>
      <c r="F173" s="148"/>
      <c r="G173" s="9"/>
      <c r="H173" s="74"/>
      <c r="I173" s="74"/>
      <c r="J173" s="74"/>
      <c r="K173" s="74"/>
      <c r="L173" s="74"/>
      <c r="M173" s="74"/>
      <c r="N173" s="74"/>
      <c r="O173" s="74"/>
      <c r="P173" s="74"/>
    </row>
    <row r="174" ht="15.75" customHeight="1">
      <c r="A174" s="5"/>
      <c r="B174" s="5"/>
      <c r="C174" s="5"/>
      <c r="D174" s="5"/>
      <c r="E174" s="5"/>
      <c r="F174" s="148"/>
      <c r="G174" s="9"/>
      <c r="H174" s="74"/>
      <c r="I174" s="74"/>
      <c r="J174" s="74"/>
      <c r="K174" s="74"/>
      <c r="L174" s="74"/>
      <c r="M174" s="74"/>
      <c r="N174" s="74"/>
      <c r="O174" s="74"/>
      <c r="P174" s="74"/>
    </row>
    <row r="175" ht="15.75" customHeight="1">
      <c r="A175" s="5"/>
      <c r="B175" s="5"/>
      <c r="C175" s="5"/>
      <c r="D175" s="5"/>
      <c r="E175" s="5"/>
      <c r="F175" s="148"/>
      <c r="G175" s="9"/>
      <c r="H175" s="74"/>
      <c r="I175" s="74"/>
      <c r="J175" s="74"/>
      <c r="K175" s="74"/>
      <c r="L175" s="74"/>
      <c r="M175" s="74"/>
      <c r="N175" s="74"/>
      <c r="O175" s="74"/>
      <c r="P175" s="74"/>
    </row>
    <row r="176" ht="15.75" customHeight="1">
      <c r="A176" s="5"/>
      <c r="B176" s="5"/>
      <c r="C176" s="5"/>
      <c r="D176" s="5"/>
      <c r="E176" s="5"/>
      <c r="F176" s="148"/>
      <c r="G176" s="9"/>
      <c r="H176" s="74"/>
      <c r="I176" s="74"/>
      <c r="J176" s="74"/>
      <c r="K176" s="74"/>
      <c r="L176" s="74"/>
      <c r="M176" s="74"/>
      <c r="N176" s="74"/>
      <c r="O176" s="74"/>
      <c r="P176" s="74"/>
    </row>
    <row r="177" ht="15.75" customHeight="1">
      <c r="A177" s="5"/>
      <c r="B177" s="5"/>
      <c r="C177" s="5"/>
      <c r="D177" s="5"/>
      <c r="E177" s="5"/>
      <c r="F177" s="148"/>
      <c r="G177" s="9"/>
      <c r="H177" s="74"/>
      <c r="I177" s="74"/>
      <c r="J177" s="74"/>
      <c r="K177" s="74"/>
      <c r="L177" s="74"/>
      <c r="M177" s="74"/>
      <c r="N177" s="74"/>
      <c r="O177" s="74"/>
      <c r="P177" s="74"/>
    </row>
    <row r="178" ht="15.75" customHeight="1">
      <c r="A178" s="5"/>
      <c r="B178" s="5"/>
      <c r="C178" s="5"/>
      <c r="D178" s="5"/>
      <c r="E178" s="5"/>
      <c r="F178" s="148"/>
      <c r="G178" s="9"/>
      <c r="H178" s="74"/>
      <c r="I178" s="74"/>
      <c r="J178" s="74"/>
      <c r="K178" s="74"/>
      <c r="L178" s="74"/>
      <c r="M178" s="74"/>
      <c r="N178" s="74"/>
      <c r="O178" s="74"/>
      <c r="P178" s="74"/>
    </row>
    <row r="179" ht="15.75" customHeight="1">
      <c r="A179" s="5"/>
      <c r="B179" s="5"/>
      <c r="C179" s="5"/>
      <c r="D179" s="5"/>
      <c r="E179" s="5"/>
      <c r="F179" s="148"/>
      <c r="G179" s="9"/>
      <c r="H179" s="74"/>
      <c r="I179" s="74"/>
      <c r="J179" s="74"/>
      <c r="K179" s="74"/>
      <c r="L179" s="74"/>
      <c r="M179" s="74"/>
      <c r="N179" s="74"/>
      <c r="O179" s="74"/>
      <c r="P179" s="74"/>
    </row>
    <row r="180" ht="15.75" customHeight="1">
      <c r="A180" s="5"/>
      <c r="B180" s="5"/>
      <c r="C180" s="5"/>
      <c r="D180" s="5"/>
      <c r="E180" s="5"/>
      <c r="F180" s="148"/>
      <c r="G180" s="9"/>
      <c r="H180" s="74"/>
      <c r="I180" s="74"/>
      <c r="J180" s="74"/>
      <c r="K180" s="74"/>
      <c r="L180" s="74"/>
      <c r="M180" s="74"/>
      <c r="N180" s="74"/>
      <c r="O180" s="74"/>
      <c r="P180" s="74"/>
    </row>
    <row r="181" ht="15.75" customHeight="1">
      <c r="A181" s="5"/>
      <c r="B181" s="5"/>
      <c r="C181" s="5"/>
      <c r="D181" s="5"/>
      <c r="E181" s="5"/>
      <c r="F181" s="148"/>
      <c r="G181" s="9"/>
      <c r="H181" s="74"/>
      <c r="I181" s="74"/>
      <c r="J181" s="74"/>
      <c r="K181" s="74"/>
      <c r="L181" s="74"/>
      <c r="M181" s="74"/>
      <c r="N181" s="74"/>
      <c r="O181" s="74"/>
      <c r="P181" s="74"/>
    </row>
    <row r="182" ht="15.75" customHeight="1">
      <c r="A182" s="5"/>
      <c r="B182" s="5"/>
      <c r="C182" s="5"/>
      <c r="D182" s="5"/>
      <c r="E182" s="5"/>
      <c r="F182" s="148"/>
      <c r="G182" s="9"/>
      <c r="H182" s="74"/>
      <c r="I182" s="74"/>
      <c r="J182" s="74"/>
      <c r="K182" s="74"/>
      <c r="L182" s="74"/>
      <c r="M182" s="74"/>
      <c r="N182" s="74"/>
      <c r="O182" s="74"/>
      <c r="P182" s="74"/>
    </row>
    <row r="183" ht="15.75" customHeight="1">
      <c r="A183" s="5"/>
      <c r="B183" s="5"/>
      <c r="C183" s="5"/>
      <c r="D183" s="5"/>
      <c r="E183" s="5"/>
      <c r="F183" s="148"/>
      <c r="G183" s="9"/>
      <c r="H183" s="74"/>
      <c r="I183" s="74"/>
      <c r="J183" s="74"/>
      <c r="K183" s="74"/>
      <c r="L183" s="74"/>
      <c r="M183" s="74"/>
      <c r="N183" s="74"/>
      <c r="O183" s="74"/>
      <c r="P183" s="74"/>
    </row>
    <row r="184" ht="15.75" customHeight="1">
      <c r="A184" s="5"/>
      <c r="B184" s="5"/>
      <c r="C184" s="5"/>
      <c r="D184" s="5"/>
      <c r="E184" s="5"/>
      <c r="F184" s="148"/>
      <c r="G184" s="9"/>
      <c r="H184" s="74"/>
      <c r="I184" s="74"/>
      <c r="J184" s="74"/>
      <c r="K184" s="74"/>
      <c r="L184" s="74"/>
      <c r="M184" s="74"/>
      <c r="N184" s="74"/>
      <c r="O184" s="74"/>
      <c r="P184" s="74"/>
    </row>
    <row r="185" ht="15.75" customHeight="1">
      <c r="A185" s="5"/>
      <c r="B185" s="5"/>
      <c r="C185" s="5"/>
      <c r="D185" s="5"/>
      <c r="E185" s="5"/>
      <c r="F185" s="148"/>
      <c r="G185" s="9"/>
      <c r="H185" s="74"/>
      <c r="I185" s="74"/>
      <c r="J185" s="74"/>
      <c r="K185" s="74"/>
      <c r="L185" s="74"/>
      <c r="M185" s="74"/>
      <c r="N185" s="74"/>
      <c r="O185" s="74"/>
      <c r="P185" s="74"/>
    </row>
    <row r="186" ht="15.75" customHeight="1">
      <c r="A186" s="5"/>
      <c r="B186" s="5"/>
      <c r="C186" s="5"/>
      <c r="D186" s="5"/>
      <c r="E186" s="5"/>
      <c r="F186" s="148"/>
      <c r="G186" s="9"/>
      <c r="H186" s="74"/>
      <c r="I186" s="74"/>
      <c r="J186" s="74"/>
      <c r="K186" s="74"/>
      <c r="L186" s="74"/>
      <c r="M186" s="74"/>
      <c r="N186" s="74"/>
      <c r="O186" s="74"/>
      <c r="P186" s="74"/>
    </row>
    <row r="187" ht="15.75" customHeight="1">
      <c r="A187" s="5"/>
      <c r="B187" s="5"/>
      <c r="C187" s="5"/>
      <c r="D187" s="5"/>
      <c r="E187" s="5"/>
      <c r="F187" s="148"/>
      <c r="G187" s="9"/>
      <c r="H187" s="74"/>
      <c r="I187" s="74"/>
      <c r="J187" s="74"/>
      <c r="K187" s="74"/>
      <c r="L187" s="74"/>
      <c r="M187" s="74"/>
      <c r="N187" s="74"/>
      <c r="O187" s="74"/>
      <c r="P187" s="74"/>
    </row>
    <row r="188" ht="15.75" customHeight="1">
      <c r="A188" s="5"/>
      <c r="B188" s="5"/>
      <c r="C188" s="5"/>
      <c r="D188" s="5"/>
      <c r="E188" s="5"/>
      <c r="F188" s="148"/>
      <c r="G188" s="9"/>
      <c r="H188" s="74"/>
      <c r="I188" s="74"/>
      <c r="J188" s="74"/>
      <c r="K188" s="74"/>
      <c r="L188" s="74"/>
      <c r="M188" s="74"/>
      <c r="N188" s="74"/>
      <c r="O188" s="74"/>
      <c r="P188" s="74"/>
    </row>
    <row r="189" ht="15.75" customHeight="1">
      <c r="A189" s="5"/>
      <c r="B189" s="5"/>
      <c r="C189" s="5"/>
      <c r="D189" s="5"/>
      <c r="E189" s="5"/>
      <c r="F189" s="148"/>
      <c r="G189" s="9"/>
      <c r="H189" s="74"/>
      <c r="I189" s="74"/>
      <c r="J189" s="74"/>
      <c r="K189" s="74"/>
      <c r="L189" s="74"/>
      <c r="M189" s="74"/>
      <c r="N189" s="74"/>
      <c r="O189" s="74"/>
      <c r="P189" s="74"/>
    </row>
    <row r="190" ht="15.75" customHeight="1">
      <c r="A190" s="5"/>
      <c r="B190" s="5"/>
      <c r="C190" s="5"/>
      <c r="D190" s="5"/>
      <c r="E190" s="5"/>
      <c r="F190" s="148"/>
      <c r="G190" s="9"/>
      <c r="H190" s="74"/>
      <c r="I190" s="74"/>
      <c r="J190" s="74"/>
      <c r="K190" s="74"/>
      <c r="L190" s="74"/>
      <c r="M190" s="74"/>
      <c r="N190" s="74"/>
      <c r="O190" s="74"/>
      <c r="P190" s="74"/>
    </row>
    <row r="191" ht="15.75" customHeight="1">
      <c r="A191" s="5"/>
      <c r="B191" s="5"/>
      <c r="C191" s="5"/>
      <c r="D191" s="5"/>
      <c r="E191" s="5"/>
      <c r="F191" s="148"/>
      <c r="G191" s="9"/>
      <c r="H191" s="74"/>
      <c r="I191" s="74"/>
      <c r="J191" s="74"/>
      <c r="K191" s="74"/>
      <c r="L191" s="74"/>
      <c r="M191" s="74"/>
      <c r="N191" s="74"/>
      <c r="O191" s="74"/>
      <c r="P191" s="74"/>
    </row>
    <row r="192" ht="15.75" customHeight="1">
      <c r="A192" s="5"/>
      <c r="B192" s="5"/>
      <c r="C192" s="5"/>
      <c r="D192" s="5"/>
      <c r="E192" s="5"/>
      <c r="F192" s="148"/>
      <c r="G192" s="9"/>
      <c r="H192" s="74"/>
      <c r="I192" s="74"/>
      <c r="J192" s="74"/>
      <c r="K192" s="74"/>
      <c r="L192" s="74"/>
      <c r="M192" s="74"/>
      <c r="N192" s="74"/>
      <c r="O192" s="74"/>
      <c r="P192" s="74"/>
    </row>
    <row r="193" ht="15.75" customHeight="1">
      <c r="A193" s="5"/>
      <c r="B193" s="5"/>
      <c r="C193" s="5"/>
      <c r="D193" s="5"/>
      <c r="E193" s="5"/>
      <c r="F193" s="148"/>
      <c r="G193" s="9"/>
      <c r="H193" s="74"/>
      <c r="I193" s="74"/>
      <c r="J193" s="74"/>
      <c r="K193" s="74"/>
      <c r="L193" s="74"/>
      <c r="M193" s="74"/>
      <c r="N193" s="74"/>
      <c r="O193" s="74"/>
      <c r="P193" s="74"/>
    </row>
    <row r="194" ht="15.75" customHeight="1">
      <c r="A194" s="5"/>
      <c r="B194" s="5"/>
      <c r="C194" s="5"/>
      <c r="D194" s="5"/>
      <c r="E194" s="5"/>
      <c r="F194" s="148"/>
      <c r="G194" s="9"/>
      <c r="H194" s="74"/>
      <c r="I194" s="74"/>
      <c r="J194" s="74"/>
      <c r="K194" s="74"/>
      <c r="L194" s="74"/>
      <c r="M194" s="74"/>
      <c r="N194" s="74"/>
      <c r="O194" s="74"/>
      <c r="P194" s="74"/>
    </row>
    <row r="195" ht="15.75" customHeight="1">
      <c r="A195" s="5"/>
      <c r="B195" s="5"/>
      <c r="C195" s="5"/>
      <c r="D195" s="5"/>
      <c r="E195" s="5"/>
      <c r="F195" s="148"/>
      <c r="G195" s="9"/>
      <c r="H195" s="74"/>
      <c r="I195" s="74"/>
      <c r="J195" s="74"/>
      <c r="K195" s="74"/>
      <c r="L195" s="74"/>
      <c r="M195" s="74"/>
      <c r="N195" s="74"/>
      <c r="O195" s="74"/>
      <c r="P195" s="74"/>
    </row>
    <row r="196" ht="15.75" customHeight="1">
      <c r="A196" s="5"/>
      <c r="B196" s="5"/>
      <c r="C196" s="5"/>
      <c r="D196" s="5"/>
      <c r="E196" s="5"/>
      <c r="F196" s="148"/>
      <c r="G196" s="9"/>
      <c r="H196" s="74"/>
      <c r="I196" s="74"/>
      <c r="J196" s="74"/>
      <c r="K196" s="74"/>
      <c r="L196" s="74"/>
      <c r="M196" s="74"/>
      <c r="N196" s="74"/>
      <c r="O196" s="74"/>
      <c r="P196" s="74"/>
    </row>
    <row r="197" ht="15.75" customHeight="1">
      <c r="A197" s="5"/>
      <c r="B197" s="5"/>
      <c r="C197" s="5"/>
      <c r="D197" s="5"/>
      <c r="E197" s="5"/>
      <c r="F197" s="148"/>
      <c r="G197" s="9"/>
      <c r="H197" s="74"/>
      <c r="I197" s="74"/>
      <c r="J197" s="74"/>
      <c r="K197" s="74"/>
      <c r="L197" s="74"/>
      <c r="M197" s="74"/>
      <c r="N197" s="74"/>
      <c r="O197" s="74"/>
      <c r="P197" s="74"/>
    </row>
    <row r="198" ht="15.75" customHeight="1">
      <c r="A198" s="5"/>
      <c r="B198" s="5"/>
      <c r="C198" s="5"/>
      <c r="D198" s="5"/>
      <c r="E198" s="5"/>
      <c r="F198" s="148"/>
      <c r="G198" s="9"/>
      <c r="H198" s="74"/>
      <c r="I198" s="74"/>
      <c r="J198" s="74"/>
      <c r="K198" s="74"/>
      <c r="L198" s="74"/>
      <c r="M198" s="74"/>
      <c r="N198" s="74"/>
      <c r="O198" s="74"/>
      <c r="P198" s="74"/>
    </row>
    <row r="199" ht="15.75" customHeight="1">
      <c r="A199" s="5"/>
      <c r="B199" s="5"/>
      <c r="C199" s="5"/>
      <c r="D199" s="5"/>
      <c r="E199" s="5"/>
      <c r="F199" s="148"/>
      <c r="G199" s="9"/>
      <c r="H199" s="74"/>
      <c r="I199" s="74"/>
      <c r="J199" s="74"/>
      <c r="K199" s="74"/>
      <c r="L199" s="74"/>
      <c r="M199" s="74"/>
      <c r="N199" s="74"/>
      <c r="O199" s="74"/>
      <c r="P199" s="74"/>
    </row>
    <row r="200" ht="15.75" customHeight="1">
      <c r="A200" s="5"/>
      <c r="B200" s="5"/>
      <c r="C200" s="5"/>
      <c r="D200" s="5"/>
      <c r="E200" s="5"/>
      <c r="F200" s="148"/>
      <c r="G200" s="9"/>
      <c r="H200" s="74"/>
      <c r="I200" s="74"/>
      <c r="J200" s="74"/>
      <c r="K200" s="74"/>
      <c r="L200" s="74"/>
      <c r="M200" s="74"/>
      <c r="N200" s="74"/>
      <c r="O200" s="74"/>
      <c r="P200" s="74"/>
    </row>
    <row r="201" ht="15.75" customHeight="1">
      <c r="A201" s="5"/>
      <c r="B201" s="5"/>
      <c r="C201" s="5"/>
      <c r="D201" s="5"/>
      <c r="E201" s="5"/>
      <c r="F201" s="148"/>
      <c r="G201" s="9"/>
      <c r="H201" s="74"/>
      <c r="I201" s="74"/>
      <c r="J201" s="74"/>
      <c r="K201" s="74"/>
      <c r="L201" s="74"/>
      <c r="M201" s="74"/>
      <c r="N201" s="74"/>
      <c r="O201" s="74"/>
      <c r="P201" s="74"/>
    </row>
    <row r="202" ht="15.75" customHeight="1">
      <c r="A202" s="5"/>
      <c r="B202" s="5"/>
      <c r="C202" s="5"/>
      <c r="D202" s="5"/>
      <c r="E202" s="5"/>
      <c r="F202" s="148"/>
      <c r="G202" s="9"/>
      <c r="H202" s="74"/>
      <c r="I202" s="74"/>
      <c r="J202" s="74"/>
      <c r="K202" s="74"/>
      <c r="L202" s="74"/>
      <c r="M202" s="74"/>
      <c r="N202" s="74"/>
      <c r="O202" s="74"/>
      <c r="P202" s="74"/>
    </row>
    <row r="203" ht="15.75" customHeight="1">
      <c r="A203" s="5"/>
      <c r="B203" s="5"/>
      <c r="C203" s="5"/>
      <c r="D203" s="5"/>
      <c r="E203" s="5"/>
      <c r="F203" s="148"/>
      <c r="G203" s="9"/>
      <c r="H203" s="74"/>
      <c r="I203" s="74"/>
      <c r="J203" s="74"/>
      <c r="K203" s="74"/>
      <c r="L203" s="74"/>
      <c r="M203" s="74"/>
      <c r="N203" s="74"/>
      <c r="O203" s="74"/>
      <c r="P203" s="74"/>
    </row>
    <row r="204" ht="15.75" customHeight="1">
      <c r="A204" s="5"/>
      <c r="B204" s="5"/>
      <c r="C204" s="5"/>
      <c r="D204" s="5"/>
      <c r="E204" s="5"/>
      <c r="F204" s="148"/>
      <c r="G204" s="9"/>
      <c r="H204" s="74"/>
      <c r="I204" s="74"/>
      <c r="J204" s="74"/>
      <c r="K204" s="74"/>
      <c r="L204" s="74"/>
      <c r="M204" s="74"/>
      <c r="N204" s="74"/>
      <c r="O204" s="74"/>
      <c r="P204" s="74"/>
    </row>
    <row r="205" ht="15.75" customHeight="1">
      <c r="A205" s="5"/>
      <c r="B205" s="5"/>
      <c r="C205" s="5"/>
      <c r="D205" s="5"/>
      <c r="E205" s="5"/>
      <c r="F205" s="148"/>
      <c r="G205" s="9"/>
      <c r="H205" s="74"/>
      <c r="I205" s="74"/>
      <c r="J205" s="74"/>
      <c r="K205" s="74"/>
      <c r="L205" s="74"/>
      <c r="M205" s="74"/>
      <c r="N205" s="74"/>
      <c r="O205" s="74"/>
      <c r="P205" s="74"/>
    </row>
    <row r="206" ht="15.75" customHeight="1">
      <c r="A206" s="5"/>
      <c r="B206" s="5"/>
      <c r="C206" s="5"/>
      <c r="D206" s="5"/>
      <c r="E206" s="5"/>
      <c r="F206" s="148"/>
      <c r="G206" s="9"/>
      <c r="H206" s="74"/>
      <c r="I206" s="74"/>
      <c r="J206" s="74"/>
      <c r="K206" s="74"/>
      <c r="L206" s="74"/>
      <c r="M206" s="74"/>
      <c r="N206" s="74"/>
      <c r="O206" s="74"/>
      <c r="P206" s="74"/>
    </row>
    <row r="207" ht="15.75" customHeight="1">
      <c r="A207" s="5"/>
      <c r="B207" s="5"/>
      <c r="C207" s="5"/>
      <c r="D207" s="5"/>
      <c r="E207" s="5"/>
      <c r="F207" s="148"/>
      <c r="G207" s="9"/>
      <c r="H207" s="74"/>
      <c r="I207" s="74"/>
      <c r="J207" s="74"/>
      <c r="K207" s="74"/>
      <c r="L207" s="74"/>
      <c r="M207" s="74"/>
      <c r="N207" s="74"/>
      <c r="O207" s="74"/>
      <c r="P207" s="74"/>
    </row>
    <row r="208" ht="15.75" customHeight="1">
      <c r="A208" s="5"/>
      <c r="B208" s="5"/>
      <c r="C208" s="5"/>
      <c r="D208" s="5"/>
      <c r="E208" s="5"/>
      <c r="F208" s="148"/>
      <c r="G208" s="9"/>
      <c r="H208" s="74"/>
      <c r="I208" s="74"/>
      <c r="J208" s="74"/>
      <c r="K208" s="74"/>
      <c r="L208" s="74"/>
      <c r="M208" s="74"/>
      <c r="N208" s="74"/>
      <c r="O208" s="74"/>
      <c r="P208" s="74"/>
    </row>
    <row r="209" ht="15.75" customHeight="1">
      <c r="A209" s="5"/>
      <c r="B209" s="5"/>
      <c r="C209" s="5"/>
      <c r="D209" s="5"/>
      <c r="E209" s="5"/>
      <c r="F209" s="148"/>
      <c r="G209" s="9"/>
      <c r="H209" s="74"/>
      <c r="I209" s="74"/>
      <c r="J209" s="74"/>
      <c r="K209" s="74"/>
      <c r="L209" s="74"/>
      <c r="M209" s="74"/>
      <c r="N209" s="74"/>
      <c r="O209" s="74"/>
      <c r="P209" s="74"/>
    </row>
    <row r="210" ht="15.75" customHeight="1">
      <c r="A210" s="5"/>
      <c r="B210" s="5"/>
      <c r="C210" s="5"/>
      <c r="D210" s="5"/>
      <c r="E210" s="5"/>
      <c r="F210" s="148"/>
      <c r="G210" s="9"/>
      <c r="H210" s="74"/>
      <c r="I210" s="74"/>
      <c r="J210" s="74"/>
      <c r="K210" s="74"/>
      <c r="L210" s="74"/>
      <c r="M210" s="74"/>
      <c r="N210" s="74"/>
      <c r="O210" s="74"/>
      <c r="P210" s="74"/>
    </row>
    <row r="211" ht="15.75" customHeight="1">
      <c r="A211" s="5"/>
      <c r="B211" s="5"/>
      <c r="C211" s="5"/>
      <c r="D211" s="5"/>
      <c r="E211" s="5"/>
      <c r="F211" s="148"/>
      <c r="G211" s="9"/>
      <c r="H211" s="74"/>
      <c r="I211" s="74"/>
      <c r="J211" s="74"/>
      <c r="K211" s="74"/>
      <c r="L211" s="74"/>
      <c r="M211" s="74"/>
      <c r="N211" s="74"/>
      <c r="O211" s="74"/>
      <c r="P211" s="74"/>
    </row>
    <row r="212" ht="15.75" customHeight="1">
      <c r="A212" s="5"/>
      <c r="B212" s="5"/>
      <c r="C212" s="5"/>
      <c r="D212" s="5"/>
      <c r="E212" s="5"/>
      <c r="F212" s="148"/>
      <c r="G212" s="9"/>
      <c r="H212" s="74"/>
      <c r="I212" s="74"/>
      <c r="J212" s="74"/>
      <c r="K212" s="74"/>
      <c r="L212" s="74"/>
      <c r="M212" s="74"/>
      <c r="N212" s="74"/>
      <c r="O212" s="74"/>
      <c r="P212" s="74"/>
    </row>
    <row r="213" ht="15.75" customHeight="1">
      <c r="A213" s="5"/>
      <c r="B213" s="5"/>
      <c r="C213" s="5"/>
      <c r="D213" s="5"/>
      <c r="E213" s="5"/>
      <c r="F213" s="148"/>
      <c r="G213" s="9"/>
      <c r="H213" s="74"/>
      <c r="I213" s="74"/>
      <c r="J213" s="74"/>
      <c r="K213" s="74"/>
      <c r="L213" s="74"/>
      <c r="M213" s="74"/>
      <c r="N213" s="74"/>
      <c r="O213" s="74"/>
      <c r="P213" s="74"/>
    </row>
    <row r="214" ht="15.75" customHeight="1">
      <c r="A214" s="5"/>
      <c r="B214" s="5"/>
      <c r="C214" s="5"/>
      <c r="D214" s="5"/>
      <c r="E214" s="5"/>
      <c r="F214" s="148"/>
      <c r="G214" s="9"/>
      <c r="H214" s="74"/>
      <c r="I214" s="74"/>
      <c r="J214" s="74"/>
      <c r="K214" s="74"/>
      <c r="L214" s="74"/>
      <c r="M214" s="74"/>
      <c r="N214" s="74"/>
      <c r="O214" s="74"/>
      <c r="P214" s="74"/>
    </row>
    <row r="215" ht="15.75" customHeight="1">
      <c r="A215" s="5"/>
      <c r="B215" s="5"/>
      <c r="C215" s="5"/>
      <c r="D215" s="5"/>
      <c r="E215" s="5"/>
      <c r="F215" s="148"/>
      <c r="G215" s="9"/>
      <c r="H215" s="74"/>
      <c r="I215" s="74"/>
      <c r="J215" s="74"/>
      <c r="K215" s="74"/>
      <c r="L215" s="74"/>
      <c r="M215" s="74"/>
      <c r="N215" s="74"/>
      <c r="O215" s="74"/>
      <c r="P215" s="74"/>
    </row>
    <row r="216" ht="15.75" customHeight="1">
      <c r="A216" s="5"/>
      <c r="B216" s="5"/>
      <c r="C216" s="5"/>
      <c r="D216" s="5"/>
      <c r="E216" s="5"/>
      <c r="F216" s="148"/>
      <c r="G216" s="9"/>
      <c r="H216" s="74"/>
      <c r="I216" s="74"/>
      <c r="J216" s="74"/>
      <c r="K216" s="74"/>
      <c r="L216" s="74"/>
      <c r="M216" s="74"/>
      <c r="N216" s="74"/>
      <c r="O216" s="74"/>
      <c r="P216" s="74"/>
    </row>
    <row r="217" ht="15.75" customHeight="1">
      <c r="A217" s="5"/>
      <c r="B217" s="5"/>
      <c r="C217" s="5"/>
      <c r="D217" s="5"/>
      <c r="E217" s="5"/>
      <c r="F217" s="148"/>
      <c r="G217" s="9"/>
      <c r="H217" s="74"/>
      <c r="I217" s="74"/>
      <c r="J217" s="74"/>
      <c r="K217" s="74"/>
      <c r="L217" s="74"/>
      <c r="M217" s="74"/>
      <c r="N217" s="74"/>
      <c r="O217" s="74"/>
      <c r="P217" s="74"/>
    </row>
    <row r="218" ht="15.75" customHeight="1">
      <c r="A218" s="5"/>
      <c r="B218" s="5"/>
      <c r="C218" s="5"/>
      <c r="D218" s="5"/>
      <c r="E218" s="5"/>
      <c r="F218" s="148"/>
      <c r="G218" s="9"/>
      <c r="H218" s="74"/>
      <c r="I218" s="74"/>
      <c r="J218" s="74"/>
      <c r="K218" s="74"/>
      <c r="L218" s="74"/>
      <c r="M218" s="74"/>
      <c r="N218" s="74"/>
      <c r="O218" s="74"/>
      <c r="P218" s="74"/>
    </row>
    <row r="219" ht="15.75" customHeight="1">
      <c r="A219" s="5"/>
      <c r="B219" s="5"/>
      <c r="C219" s="5"/>
      <c r="D219" s="5"/>
      <c r="E219" s="5"/>
      <c r="F219" s="148"/>
      <c r="G219" s="9"/>
      <c r="H219" s="74"/>
      <c r="I219" s="74"/>
      <c r="J219" s="74"/>
      <c r="K219" s="74"/>
      <c r="L219" s="74"/>
      <c r="M219" s="74"/>
      <c r="N219" s="74"/>
      <c r="O219" s="74"/>
      <c r="P219" s="74"/>
    </row>
    <row r="220" ht="15.75" customHeight="1">
      <c r="A220" s="5"/>
      <c r="B220" s="5"/>
      <c r="C220" s="5"/>
      <c r="D220" s="5"/>
      <c r="E220" s="5"/>
      <c r="F220" s="148"/>
      <c r="G220" s="9"/>
      <c r="H220" s="74"/>
      <c r="I220" s="74"/>
      <c r="J220" s="74"/>
      <c r="K220" s="74"/>
      <c r="L220" s="74"/>
      <c r="M220" s="74"/>
      <c r="N220" s="74"/>
      <c r="O220" s="74"/>
      <c r="P220" s="74"/>
    </row>
    <row r="221" ht="15.75" customHeight="1">
      <c r="A221" s="5"/>
      <c r="B221" s="5"/>
      <c r="C221" s="5"/>
      <c r="D221" s="5"/>
      <c r="E221" s="5"/>
      <c r="F221" s="148"/>
      <c r="G221" s="9"/>
      <c r="H221" s="74"/>
      <c r="I221" s="74"/>
      <c r="J221" s="74"/>
      <c r="K221" s="74"/>
      <c r="L221" s="74"/>
      <c r="M221" s="74"/>
      <c r="N221" s="74"/>
      <c r="O221" s="74"/>
      <c r="P221" s="74"/>
    </row>
    <row r="222" ht="15.75" customHeight="1">
      <c r="A222" s="5"/>
      <c r="B222" s="5"/>
      <c r="C222" s="5"/>
      <c r="D222" s="5"/>
      <c r="E222" s="5"/>
      <c r="F222" s="148"/>
      <c r="G222" s="9"/>
      <c r="H222" s="74"/>
      <c r="I222" s="74"/>
      <c r="J222" s="74"/>
      <c r="K222" s="74"/>
      <c r="L222" s="74"/>
      <c r="M222" s="74"/>
      <c r="N222" s="74"/>
      <c r="O222" s="74"/>
      <c r="P222" s="74"/>
    </row>
    <row r="223" ht="15.75" customHeight="1">
      <c r="A223" s="5"/>
      <c r="B223" s="5"/>
      <c r="C223" s="5"/>
      <c r="D223" s="5"/>
      <c r="E223" s="5"/>
      <c r="F223" s="148"/>
      <c r="G223" s="9"/>
      <c r="H223" s="74"/>
      <c r="I223" s="74"/>
      <c r="J223" s="74"/>
      <c r="K223" s="74"/>
      <c r="L223" s="74"/>
      <c r="M223" s="74"/>
      <c r="N223" s="74"/>
      <c r="O223" s="74"/>
      <c r="P223" s="74"/>
    </row>
    <row r="224" ht="15.75" customHeight="1">
      <c r="A224" s="5"/>
      <c r="B224" s="5"/>
      <c r="C224" s="5"/>
      <c r="D224" s="5"/>
      <c r="E224" s="5"/>
      <c r="F224" s="148"/>
      <c r="G224" s="9"/>
      <c r="H224" s="74"/>
      <c r="I224" s="74"/>
      <c r="J224" s="74"/>
      <c r="K224" s="74"/>
      <c r="L224" s="74"/>
      <c r="M224" s="74"/>
      <c r="N224" s="74"/>
      <c r="O224" s="74"/>
      <c r="P224" s="74"/>
    </row>
    <row r="225" ht="15.75" customHeight="1">
      <c r="A225" s="5"/>
      <c r="B225" s="5"/>
      <c r="C225" s="5"/>
      <c r="D225" s="5"/>
      <c r="E225" s="5"/>
      <c r="F225" s="148"/>
      <c r="G225" s="9"/>
      <c r="H225" s="74"/>
      <c r="I225" s="74"/>
      <c r="J225" s="74"/>
      <c r="K225" s="74"/>
      <c r="L225" s="74"/>
      <c r="M225" s="74"/>
      <c r="N225" s="74"/>
      <c r="O225" s="74"/>
      <c r="P225" s="74"/>
    </row>
    <row r="226" ht="15.75" customHeight="1">
      <c r="A226" s="5"/>
      <c r="B226" s="5"/>
      <c r="C226" s="5"/>
      <c r="D226" s="5"/>
      <c r="E226" s="5"/>
      <c r="F226" s="148"/>
      <c r="G226" s="9"/>
      <c r="H226" s="74"/>
      <c r="I226" s="74"/>
      <c r="J226" s="74"/>
      <c r="K226" s="74"/>
      <c r="L226" s="74"/>
      <c r="M226" s="74"/>
      <c r="N226" s="74"/>
      <c r="O226" s="74"/>
      <c r="P226" s="74"/>
    </row>
    <row r="227" ht="15.75" customHeight="1">
      <c r="A227" s="5"/>
      <c r="B227" s="5"/>
      <c r="C227" s="5"/>
      <c r="D227" s="5"/>
      <c r="E227" s="5"/>
      <c r="F227" s="148"/>
      <c r="G227" s="9"/>
      <c r="H227" s="74"/>
      <c r="I227" s="74"/>
      <c r="J227" s="74"/>
      <c r="K227" s="74"/>
      <c r="L227" s="74"/>
      <c r="M227" s="74"/>
      <c r="N227" s="74"/>
      <c r="O227" s="74"/>
      <c r="P227" s="74"/>
    </row>
    <row r="228" ht="15.75" customHeight="1">
      <c r="A228" s="5"/>
      <c r="B228" s="5"/>
      <c r="C228" s="5"/>
      <c r="D228" s="5"/>
      <c r="E228" s="5"/>
      <c r="F228" s="148"/>
      <c r="G228" s="9"/>
      <c r="H228" s="74"/>
      <c r="I228" s="74"/>
      <c r="J228" s="74"/>
      <c r="K228" s="74"/>
      <c r="L228" s="74"/>
      <c r="M228" s="74"/>
      <c r="N228" s="74"/>
      <c r="O228" s="74"/>
      <c r="P228" s="74"/>
    </row>
    <row r="229" ht="15.75" customHeight="1">
      <c r="A229" s="5"/>
      <c r="B229" s="5"/>
      <c r="C229" s="5"/>
      <c r="D229" s="5"/>
      <c r="E229" s="5"/>
      <c r="F229" s="148"/>
      <c r="G229" s="9"/>
      <c r="H229" s="74"/>
      <c r="I229" s="74"/>
      <c r="J229" s="74"/>
      <c r="K229" s="74"/>
      <c r="L229" s="74"/>
      <c r="M229" s="74"/>
      <c r="N229" s="74"/>
      <c r="O229" s="74"/>
      <c r="P229" s="74"/>
    </row>
    <row r="230" ht="15.75" customHeight="1">
      <c r="A230" s="5"/>
      <c r="B230" s="5"/>
      <c r="C230" s="5"/>
      <c r="D230" s="5"/>
      <c r="E230" s="5"/>
      <c r="F230" s="148"/>
      <c r="G230" s="9"/>
      <c r="H230" s="74"/>
      <c r="I230" s="74"/>
      <c r="J230" s="74"/>
      <c r="K230" s="74"/>
      <c r="L230" s="74"/>
      <c r="M230" s="74"/>
      <c r="N230" s="74"/>
      <c r="O230" s="74"/>
      <c r="P230" s="74"/>
    </row>
    <row r="231" ht="15.75" customHeight="1">
      <c r="A231" s="5"/>
      <c r="B231" s="5"/>
      <c r="C231" s="5"/>
      <c r="D231" s="5"/>
      <c r="E231" s="5"/>
      <c r="F231" s="148"/>
      <c r="G231" s="9"/>
      <c r="H231" s="74"/>
      <c r="I231" s="74"/>
      <c r="J231" s="74"/>
      <c r="K231" s="74"/>
      <c r="L231" s="74"/>
      <c r="M231" s="74"/>
      <c r="N231" s="74"/>
      <c r="O231" s="74"/>
      <c r="P231" s="74"/>
    </row>
    <row r="232" ht="15.75" customHeight="1">
      <c r="A232" s="5"/>
      <c r="B232" s="5"/>
      <c r="C232" s="5"/>
      <c r="D232" s="5"/>
      <c r="E232" s="5"/>
      <c r="F232" s="148"/>
      <c r="G232" s="9"/>
      <c r="H232" s="74"/>
      <c r="I232" s="74"/>
      <c r="J232" s="74"/>
      <c r="K232" s="74"/>
      <c r="L232" s="74"/>
      <c r="M232" s="74"/>
      <c r="N232" s="74"/>
      <c r="O232" s="74"/>
      <c r="P232" s="74"/>
    </row>
    <row r="233" ht="15.75" customHeight="1">
      <c r="A233" s="5"/>
      <c r="B233" s="5"/>
      <c r="C233" s="5"/>
      <c r="D233" s="5"/>
      <c r="E233" s="5"/>
      <c r="F233" s="148"/>
      <c r="G233" s="9"/>
      <c r="H233" s="74"/>
      <c r="I233" s="74"/>
      <c r="J233" s="74"/>
      <c r="K233" s="74"/>
      <c r="L233" s="74"/>
      <c r="M233" s="74"/>
      <c r="N233" s="74"/>
      <c r="O233" s="74"/>
      <c r="P233" s="74"/>
    </row>
    <row r="234" ht="15.75" customHeight="1">
      <c r="A234" s="5"/>
      <c r="B234" s="5"/>
      <c r="C234" s="5"/>
      <c r="D234" s="5"/>
      <c r="E234" s="5"/>
      <c r="F234" s="148"/>
      <c r="G234" s="9"/>
      <c r="H234" s="74"/>
      <c r="I234" s="74"/>
      <c r="J234" s="74"/>
      <c r="K234" s="74"/>
      <c r="L234" s="74"/>
      <c r="M234" s="74"/>
      <c r="N234" s="74"/>
      <c r="O234" s="74"/>
      <c r="P234" s="74"/>
    </row>
    <row r="235" ht="15.75" customHeight="1">
      <c r="A235" s="5"/>
      <c r="B235" s="5"/>
      <c r="C235" s="5"/>
      <c r="D235" s="5"/>
      <c r="E235" s="5"/>
      <c r="F235" s="148"/>
      <c r="G235" s="9"/>
      <c r="H235" s="74"/>
      <c r="I235" s="74"/>
      <c r="J235" s="74"/>
      <c r="K235" s="74"/>
      <c r="L235" s="74"/>
      <c r="M235" s="74"/>
      <c r="N235" s="74"/>
      <c r="O235" s="74"/>
      <c r="P235" s="74"/>
    </row>
    <row r="236" ht="15.75" customHeight="1">
      <c r="A236" s="5"/>
      <c r="B236" s="5"/>
      <c r="C236" s="5"/>
      <c r="D236" s="5"/>
      <c r="E236" s="5"/>
      <c r="F236" s="148"/>
      <c r="G236" s="9"/>
      <c r="H236" s="74"/>
      <c r="I236" s="74"/>
      <c r="J236" s="74"/>
      <c r="K236" s="74"/>
      <c r="L236" s="74"/>
      <c r="M236" s="74"/>
      <c r="N236" s="74"/>
      <c r="O236" s="74"/>
      <c r="P236" s="74"/>
    </row>
    <row r="237" ht="15.75" customHeight="1">
      <c r="A237" s="5"/>
      <c r="B237" s="5"/>
      <c r="C237" s="5"/>
      <c r="D237" s="5"/>
      <c r="E237" s="5"/>
      <c r="F237" s="148"/>
      <c r="G237" s="9"/>
      <c r="H237" s="74"/>
      <c r="I237" s="74"/>
      <c r="J237" s="74"/>
      <c r="K237" s="74"/>
      <c r="L237" s="74"/>
      <c r="M237" s="74"/>
      <c r="N237" s="74"/>
      <c r="O237" s="74"/>
      <c r="P237" s="74"/>
    </row>
    <row r="238" ht="15.75" customHeight="1">
      <c r="A238" s="5"/>
      <c r="B238" s="5"/>
      <c r="C238" s="5"/>
      <c r="D238" s="5"/>
      <c r="E238" s="5"/>
      <c r="F238" s="148"/>
      <c r="G238" s="9"/>
      <c r="H238" s="74"/>
      <c r="I238" s="74"/>
      <c r="J238" s="74"/>
      <c r="K238" s="74"/>
      <c r="L238" s="74"/>
      <c r="M238" s="74"/>
      <c r="N238" s="74"/>
      <c r="O238" s="74"/>
      <c r="P238" s="74"/>
    </row>
    <row r="239" ht="15.75" customHeight="1">
      <c r="A239" s="5"/>
      <c r="B239" s="5"/>
      <c r="C239" s="5"/>
      <c r="D239" s="5"/>
      <c r="E239" s="5"/>
      <c r="F239" s="148"/>
      <c r="G239" s="9"/>
      <c r="H239" s="74"/>
      <c r="I239" s="74"/>
      <c r="J239" s="74"/>
      <c r="K239" s="74"/>
      <c r="L239" s="74"/>
      <c r="M239" s="74"/>
      <c r="N239" s="74"/>
      <c r="O239" s="74"/>
      <c r="P239" s="74"/>
    </row>
    <row r="240" ht="15.75" customHeight="1">
      <c r="A240" s="5"/>
      <c r="B240" s="5"/>
      <c r="C240" s="5"/>
      <c r="D240" s="5"/>
      <c r="E240" s="5"/>
      <c r="F240" s="148"/>
      <c r="G240" s="9"/>
      <c r="H240" s="74"/>
      <c r="I240" s="74"/>
      <c r="J240" s="74"/>
      <c r="K240" s="74"/>
      <c r="L240" s="74"/>
      <c r="M240" s="74"/>
      <c r="N240" s="74"/>
      <c r="O240" s="74"/>
      <c r="P240" s="74"/>
    </row>
    <row r="241" ht="15.75" customHeight="1">
      <c r="A241" s="5"/>
      <c r="B241" s="5"/>
      <c r="C241" s="5"/>
      <c r="D241" s="5"/>
      <c r="E241" s="5"/>
      <c r="F241" s="148"/>
      <c r="G241" s="9"/>
      <c r="H241" s="74"/>
      <c r="I241" s="74"/>
      <c r="J241" s="74"/>
      <c r="K241" s="74"/>
      <c r="L241" s="74"/>
      <c r="M241" s="74"/>
      <c r="N241" s="74"/>
      <c r="O241" s="74"/>
      <c r="P241" s="74"/>
    </row>
    <row r="242" ht="15.75" customHeight="1">
      <c r="A242" s="5"/>
      <c r="B242" s="5"/>
      <c r="C242" s="5"/>
      <c r="D242" s="5"/>
      <c r="E242" s="5"/>
      <c r="F242" s="148"/>
      <c r="G242" s="9"/>
      <c r="H242" s="74"/>
      <c r="I242" s="74"/>
      <c r="J242" s="74"/>
      <c r="K242" s="74"/>
      <c r="L242" s="74"/>
      <c r="M242" s="74"/>
      <c r="N242" s="74"/>
      <c r="O242" s="74"/>
      <c r="P242" s="74"/>
    </row>
    <row r="243" ht="15.75" customHeight="1">
      <c r="A243" s="5"/>
      <c r="B243" s="5"/>
      <c r="C243" s="5"/>
      <c r="D243" s="5"/>
      <c r="E243" s="5"/>
      <c r="F243" s="148"/>
      <c r="G243" s="9"/>
      <c r="H243" s="74"/>
      <c r="I243" s="74"/>
      <c r="J243" s="74"/>
      <c r="K243" s="74"/>
      <c r="L243" s="74"/>
      <c r="M243" s="74"/>
      <c r="N243" s="74"/>
      <c r="O243" s="74"/>
      <c r="P243" s="74"/>
    </row>
    <row r="244" ht="15.75" customHeight="1">
      <c r="A244" s="5"/>
      <c r="B244" s="5"/>
      <c r="C244" s="5"/>
      <c r="D244" s="5"/>
      <c r="E244" s="5"/>
      <c r="F244" s="148"/>
      <c r="G244" s="9"/>
      <c r="H244" s="74"/>
      <c r="I244" s="74"/>
      <c r="J244" s="74"/>
      <c r="K244" s="74"/>
      <c r="L244" s="74"/>
      <c r="M244" s="74"/>
      <c r="N244" s="74"/>
      <c r="O244" s="74"/>
      <c r="P244" s="74"/>
    </row>
    <row r="245" ht="15.75" customHeight="1">
      <c r="A245" s="5"/>
      <c r="B245" s="5"/>
      <c r="C245" s="5"/>
      <c r="D245" s="5"/>
      <c r="E245" s="5"/>
      <c r="F245" s="148"/>
      <c r="G245" s="9"/>
      <c r="H245" s="74"/>
      <c r="I245" s="74"/>
      <c r="J245" s="74"/>
      <c r="K245" s="74"/>
      <c r="L245" s="74"/>
      <c r="M245" s="74"/>
      <c r="N245" s="74"/>
      <c r="O245" s="74"/>
      <c r="P245" s="74"/>
    </row>
    <row r="246" ht="15.75" customHeight="1">
      <c r="A246" s="5"/>
      <c r="B246" s="5"/>
      <c r="C246" s="5"/>
      <c r="D246" s="5"/>
      <c r="E246" s="5"/>
      <c r="F246" s="148"/>
      <c r="G246" s="9"/>
      <c r="H246" s="74"/>
      <c r="I246" s="74"/>
      <c r="J246" s="74"/>
      <c r="K246" s="74"/>
      <c r="L246" s="74"/>
      <c r="M246" s="74"/>
      <c r="N246" s="74"/>
      <c r="O246" s="74"/>
      <c r="P246" s="74"/>
    </row>
    <row r="247" ht="15.75" customHeight="1">
      <c r="A247" s="5"/>
      <c r="B247" s="5"/>
      <c r="C247" s="5"/>
      <c r="D247" s="5"/>
      <c r="E247" s="5"/>
      <c r="F247" s="148"/>
      <c r="G247" s="9"/>
      <c r="H247" s="74"/>
      <c r="I247" s="74"/>
      <c r="J247" s="74"/>
      <c r="K247" s="74"/>
      <c r="L247" s="74"/>
      <c r="M247" s="74"/>
      <c r="N247" s="74"/>
      <c r="O247" s="74"/>
      <c r="P247" s="74"/>
    </row>
    <row r="248" ht="15.75" customHeight="1">
      <c r="A248" s="5"/>
      <c r="B248" s="5"/>
      <c r="C248" s="5"/>
      <c r="D248" s="5"/>
      <c r="E248" s="5"/>
      <c r="F248" s="148"/>
      <c r="G248" s="9"/>
      <c r="H248" s="74"/>
      <c r="I248" s="74"/>
      <c r="J248" s="74"/>
      <c r="K248" s="74"/>
      <c r="L248" s="74"/>
      <c r="M248" s="74"/>
      <c r="N248" s="74"/>
      <c r="O248" s="74"/>
      <c r="P248" s="74"/>
    </row>
    <row r="249" ht="15.75" customHeight="1">
      <c r="A249" s="5"/>
      <c r="B249" s="5"/>
      <c r="C249" s="5"/>
      <c r="D249" s="5"/>
      <c r="E249" s="5"/>
      <c r="F249" s="148"/>
      <c r="G249" s="9"/>
      <c r="H249" s="74"/>
      <c r="I249" s="74"/>
      <c r="J249" s="74"/>
      <c r="K249" s="74"/>
      <c r="L249" s="74"/>
      <c r="M249" s="74"/>
      <c r="N249" s="74"/>
      <c r="O249" s="74"/>
      <c r="P249" s="74"/>
    </row>
    <row r="250" ht="15.75" customHeight="1">
      <c r="A250" s="5"/>
      <c r="B250" s="5"/>
      <c r="C250" s="5"/>
      <c r="D250" s="5"/>
      <c r="E250" s="5"/>
      <c r="F250" s="148"/>
      <c r="G250" s="9"/>
      <c r="H250" s="74"/>
      <c r="I250" s="74"/>
      <c r="J250" s="74"/>
      <c r="K250" s="74"/>
      <c r="L250" s="74"/>
      <c r="M250" s="74"/>
      <c r="N250" s="74"/>
      <c r="O250" s="74"/>
      <c r="P250" s="74"/>
    </row>
    <row r="251" ht="15.75" customHeight="1">
      <c r="A251" s="5"/>
      <c r="B251" s="5"/>
      <c r="C251" s="5"/>
      <c r="D251" s="5"/>
      <c r="E251" s="5"/>
      <c r="F251" s="148"/>
      <c r="G251" s="9"/>
      <c r="H251" s="74"/>
      <c r="I251" s="74"/>
      <c r="J251" s="74"/>
      <c r="K251" s="74"/>
      <c r="L251" s="74"/>
      <c r="M251" s="74"/>
      <c r="N251" s="74"/>
      <c r="O251" s="74"/>
      <c r="P251" s="74"/>
    </row>
    <row r="252" ht="15.75" customHeight="1">
      <c r="A252" s="5"/>
      <c r="B252" s="5"/>
      <c r="C252" s="5"/>
      <c r="D252" s="5"/>
      <c r="E252" s="5"/>
      <c r="F252" s="148"/>
      <c r="G252" s="9"/>
      <c r="H252" s="74"/>
      <c r="I252" s="74"/>
      <c r="J252" s="74"/>
      <c r="K252" s="74"/>
      <c r="L252" s="74"/>
      <c r="M252" s="74"/>
      <c r="N252" s="74"/>
      <c r="O252" s="74"/>
      <c r="P252" s="74"/>
    </row>
    <row r="253" ht="15.75" customHeight="1">
      <c r="A253" s="5"/>
      <c r="B253" s="5"/>
      <c r="C253" s="5"/>
      <c r="D253" s="5"/>
      <c r="E253" s="5"/>
      <c r="F253" s="148"/>
      <c r="G253" s="9"/>
      <c r="H253" s="74"/>
      <c r="I253" s="74"/>
      <c r="J253" s="74"/>
      <c r="K253" s="74"/>
      <c r="L253" s="74"/>
      <c r="M253" s="74"/>
      <c r="N253" s="74"/>
      <c r="O253" s="74"/>
      <c r="P253" s="74"/>
    </row>
    <row r="254" ht="15.75" customHeight="1">
      <c r="A254" s="5"/>
      <c r="B254" s="5"/>
      <c r="C254" s="5"/>
      <c r="D254" s="5"/>
      <c r="E254" s="5"/>
      <c r="F254" s="148"/>
      <c r="G254" s="9"/>
      <c r="H254" s="74"/>
      <c r="I254" s="74"/>
      <c r="J254" s="74"/>
      <c r="K254" s="74"/>
      <c r="L254" s="74"/>
      <c r="M254" s="74"/>
      <c r="N254" s="74"/>
      <c r="O254" s="74"/>
      <c r="P254" s="74"/>
    </row>
    <row r="255" ht="15.75" customHeight="1">
      <c r="A255" s="5"/>
      <c r="B255" s="5"/>
      <c r="C255" s="5"/>
      <c r="D255" s="5"/>
      <c r="E255" s="5"/>
      <c r="F255" s="148"/>
      <c r="G255" s="9"/>
      <c r="H255" s="74"/>
      <c r="I255" s="74"/>
      <c r="J255" s="74"/>
      <c r="K255" s="74"/>
      <c r="L255" s="74"/>
      <c r="M255" s="74"/>
      <c r="N255" s="74"/>
      <c r="O255" s="74"/>
      <c r="P255" s="74"/>
    </row>
    <row r="256" ht="15.75" customHeight="1">
      <c r="A256" s="5"/>
      <c r="B256" s="5"/>
      <c r="C256" s="5"/>
      <c r="D256" s="5"/>
      <c r="E256" s="5"/>
      <c r="F256" s="148"/>
      <c r="G256" s="9"/>
      <c r="H256" s="74"/>
      <c r="I256" s="74"/>
      <c r="J256" s="74"/>
      <c r="K256" s="74"/>
      <c r="L256" s="74"/>
      <c r="M256" s="74"/>
      <c r="N256" s="74"/>
      <c r="O256" s="74"/>
      <c r="P256" s="74"/>
    </row>
    <row r="257" ht="15.75" customHeight="1">
      <c r="A257" s="5"/>
      <c r="B257" s="5"/>
      <c r="C257" s="5"/>
      <c r="D257" s="5"/>
      <c r="E257" s="5"/>
      <c r="F257" s="148"/>
      <c r="G257" s="9"/>
      <c r="H257" s="74"/>
      <c r="I257" s="74"/>
      <c r="J257" s="74"/>
      <c r="K257" s="74"/>
      <c r="L257" s="74"/>
      <c r="M257" s="74"/>
      <c r="N257" s="74"/>
      <c r="O257" s="74"/>
      <c r="P257" s="74"/>
    </row>
    <row r="258" ht="15.75" customHeight="1">
      <c r="A258" s="5"/>
      <c r="B258" s="5"/>
      <c r="C258" s="5"/>
      <c r="D258" s="5"/>
      <c r="E258" s="5"/>
      <c r="F258" s="148"/>
      <c r="G258" s="9"/>
      <c r="H258" s="74"/>
      <c r="I258" s="74"/>
      <c r="J258" s="74"/>
      <c r="K258" s="74"/>
      <c r="L258" s="74"/>
      <c r="M258" s="74"/>
      <c r="N258" s="74"/>
      <c r="O258" s="74"/>
      <c r="P258" s="74"/>
    </row>
    <row r="259" ht="15.75" customHeight="1">
      <c r="A259" s="5"/>
      <c r="B259" s="5"/>
      <c r="C259" s="5"/>
      <c r="D259" s="5"/>
      <c r="E259" s="5"/>
      <c r="F259" s="148"/>
      <c r="G259" s="9"/>
      <c r="H259" s="74"/>
      <c r="I259" s="74"/>
      <c r="J259" s="74"/>
      <c r="K259" s="74"/>
      <c r="L259" s="74"/>
      <c r="M259" s="74"/>
      <c r="N259" s="74"/>
      <c r="O259" s="74"/>
      <c r="P259" s="74"/>
    </row>
    <row r="260" ht="15.75" customHeight="1">
      <c r="A260" s="5"/>
      <c r="B260" s="5"/>
      <c r="C260" s="5"/>
      <c r="D260" s="5"/>
      <c r="E260" s="5"/>
      <c r="F260" s="148"/>
      <c r="G260" s="9"/>
      <c r="H260" s="74"/>
      <c r="I260" s="74"/>
      <c r="J260" s="74"/>
      <c r="K260" s="74"/>
      <c r="L260" s="74"/>
      <c r="M260" s="74"/>
      <c r="N260" s="74"/>
      <c r="O260" s="74"/>
      <c r="P260" s="74"/>
    </row>
    <row r="261" ht="15.75" customHeight="1">
      <c r="A261" s="5"/>
      <c r="B261" s="5"/>
      <c r="C261" s="5"/>
      <c r="D261" s="5"/>
      <c r="E261" s="5"/>
      <c r="F261" s="148"/>
      <c r="G261" s="9"/>
      <c r="H261" s="74"/>
      <c r="I261" s="74"/>
      <c r="J261" s="74"/>
      <c r="K261" s="74"/>
      <c r="L261" s="74"/>
      <c r="M261" s="74"/>
      <c r="N261" s="74"/>
      <c r="O261" s="74"/>
      <c r="P261" s="74"/>
    </row>
    <row r="262" ht="15.75" customHeight="1">
      <c r="A262" s="5"/>
      <c r="B262" s="5"/>
      <c r="C262" s="5"/>
      <c r="D262" s="5"/>
      <c r="E262" s="5"/>
      <c r="F262" s="148"/>
      <c r="G262" s="9"/>
      <c r="H262" s="74"/>
      <c r="I262" s="74"/>
      <c r="J262" s="74"/>
      <c r="K262" s="74"/>
      <c r="L262" s="74"/>
      <c r="M262" s="74"/>
      <c r="N262" s="74"/>
      <c r="O262" s="74"/>
      <c r="P262" s="74"/>
    </row>
    <row r="263" ht="15.75" customHeight="1">
      <c r="A263" s="5"/>
      <c r="B263" s="5"/>
      <c r="C263" s="5"/>
      <c r="D263" s="5"/>
      <c r="E263" s="5"/>
      <c r="F263" s="148"/>
      <c r="G263" s="9"/>
      <c r="H263" s="74"/>
      <c r="I263" s="74"/>
      <c r="J263" s="74"/>
      <c r="K263" s="74"/>
      <c r="L263" s="74"/>
      <c r="M263" s="74"/>
      <c r="N263" s="74"/>
      <c r="O263" s="74"/>
      <c r="P263" s="74"/>
    </row>
    <row r="264" ht="15.75" customHeight="1">
      <c r="A264" s="5"/>
      <c r="B264" s="5"/>
      <c r="C264" s="5"/>
      <c r="D264" s="5"/>
      <c r="E264" s="5"/>
      <c r="F264" s="148"/>
      <c r="G264" s="9"/>
      <c r="H264" s="74"/>
      <c r="I264" s="74"/>
      <c r="J264" s="74"/>
      <c r="K264" s="74"/>
      <c r="L264" s="74"/>
      <c r="M264" s="74"/>
      <c r="N264" s="74"/>
      <c r="O264" s="74"/>
      <c r="P264" s="74"/>
    </row>
    <row r="265" ht="15.75" customHeight="1">
      <c r="A265" s="5"/>
      <c r="B265" s="5"/>
      <c r="C265" s="5"/>
      <c r="D265" s="5"/>
      <c r="E265" s="5"/>
      <c r="F265" s="148"/>
      <c r="G265" s="9"/>
      <c r="H265" s="74"/>
      <c r="I265" s="74"/>
      <c r="J265" s="74"/>
      <c r="K265" s="74"/>
      <c r="L265" s="74"/>
      <c r="M265" s="74"/>
      <c r="N265" s="74"/>
      <c r="O265" s="74"/>
      <c r="P265" s="74"/>
    </row>
    <row r="266" ht="15.75" customHeight="1">
      <c r="A266" s="5"/>
      <c r="B266" s="5"/>
      <c r="C266" s="5"/>
      <c r="D266" s="5"/>
      <c r="E266" s="5"/>
      <c r="F266" s="148"/>
      <c r="G266" s="9"/>
      <c r="H266" s="74"/>
      <c r="I266" s="74"/>
      <c r="J266" s="74"/>
      <c r="K266" s="74"/>
      <c r="L266" s="74"/>
      <c r="M266" s="74"/>
      <c r="N266" s="74"/>
      <c r="O266" s="74"/>
      <c r="P266" s="74"/>
    </row>
    <row r="267" ht="15.75" customHeight="1">
      <c r="A267" s="5"/>
      <c r="B267" s="5"/>
      <c r="C267" s="5"/>
      <c r="D267" s="5"/>
      <c r="E267" s="5"/>
      <c r="F267" s="148"/>
      <c r="G267" s="9"/>
      <c r="H267" s="74"/>
      <c r="I267" s="74"/>
      <c r="J267" s="74"/>
      <c r="K267" s="74"/>
      <c r="L267" s="74"/>
      <c r="M267" s="74"/>
      <c r="N267" s="74"/>
      <c r="O267" s="74"/>
      <c r="P267" s="74"/>
    </row>
    <row r="268" ht="15.75" customHeight="1">
      <c r="A268" s="5"/>
      <c r="B268" s="5"/>
      <c r="C268" s="5"/>
      <c r="D268" s="5"/>
      <c r="E268" s="5"/>
      <c r="F268" s="148"/>
      <c r="G268" s="9"/>
      <c r="H268" s="74"/>
      <c r="I268" s="74"/>
      <c r="J268" s="74"/>
      <c r="K268" s="74"/>
      <c r="L268" s="74"/>
      <c r="M268" s="74"/>
      <c r="N268" s="74"/>
      <c r="O268" s="74"/>
      <c r="P268" s="74"/>
    </row>
    <row r="269" ht="15.75" customHeight="1">
      <c r="A269" s="5"/>
      <c r="B269" s="5"/>
      <c r="C269" s="5"/>
      <c r="D269" s="5"/>
      <c r="E269" s="5"/>
      <c r="F269" s="148"/>
      <c r="G269" s="9"/>
      <c r="H269" s="74"/>
      <c r="I269" s="74"/>
      <c r="J269" s="74"/>
      <c r="K269" s="74"/>
      <c r="L269" s="74"/>
      <c r="M269" s="74"/>
      <c r="N269" s="74"/>
      <c r="O269" s="74"/>
      <c r="P269" s="74"/>
    </row>
    <row r="270" ht="15.75" customHeight="1">
      <c r="A270" s="5"/>
      <c r="B270" s="5"/>
      <c r="C270" s="5"/>
      <c r="D270" s="5"/>
      <c r="E270" s="5"/>
      <c r="F270" s="148"/>
      <c r="G270" s="9"/>
      <c r="H270" s="74"/>
      <c r="I270" s="74"/>
      <c r="J270" s="74"/>
      <c r="K270" s="74"/>
      <c r="L270" s="74"/>
      <c r="M270" s="74"/>
      <c r="N270" s="74"/>
      <c r="O270" s="74"/>
      <c r="P270" s="74"/>
    </row>
    <row r="271" ht="15.75" customHeight="1">
      <c r="A271" s="5"/>
      <c r="B271" s="5"/>
      <c r="C271" s="5"/>
      <c r="D271" s="5"/>
      <c r="E271" s="5"/>
      <c r="F271" s="148"/>
      <c r="G271" s="9"/>
      <c r="H271" s="74"/>
      <c r="I271" s="74"/>
      <c r="J271" s="74"/>
      <c r="K271" s="74"/>
      <c r="L271" s="74"/>
      <c r="M271" s="74"/>
      <c r="N271" s="74"/>
      <c r="O271" s="74"/>
      <c r="P271" s="74"/>
    </row>
    <row r="272" ht="15.75" customHeight="1">
      <c r="A272" s="5"/>
      <c r="B272" s="5"/>
      <c r="C272" s="5"/>
      <c r="D272" s="5"/>
      <c r="E272" s="5"/>
      <c r="F272" s="148"/>
      <c r="G272" s="9"/>
      <c r="H272" s="74"/>
      <c r="I272" s="74"/>
      <c r="J272" s="74"/>
      <c r="K272" s="74"/>
      <c r="L272" s="74"/>
      <c r="M272" s="74"/>
      <c r="N272" s="74"/>
      <c r="O272" s="74"/>
      <c r="P272" s="74"/>
    </row>
    <row r="273" ht="15.75" customHeight="1">
      <c r="A273" s="5"/>
      <c r="B273" s="5"/>
      <c r="C273" s="5"/>
      <c r="D273" s="5"/>
      <c r="E273" s="5"/>
      <c r="F273" s="148"/>
      <c r="G273" s="9"/>
      <c r="H273" s="74"/>
      <c r="I273" s="74"/>
      <c r="J273" s="74"/>
      <c r="K273" s="74"/>
      <c r="L273" s="74"/>
      <c r="M273" s="74"/>
      <c r="N273" s="74"/>
      <c r="O273" s="74"/>
      <c r="P273" s="74"/>
    </row>
    <row r="274" ht="15.75" customHeight="1">
      <c r="A274" s="5"/>
      <c r="B274" s="5"/>
      <c r="C274" s="5"/>
      <c r="D274" s="5"/>
      <c r="E274" s="5"/>
      <c r="F274" s="148"/>
      <c r="G274" s="9"/>
      <c r="H274" s="74"/>
      <c r="I274" s="74"/>
      <c r="J274" s="74"/>
      <c r="K274" s="74"/>
      <c r="L274" s="74"/>
      <c r="M274" s="74"/>
      <c r="N274" s="74"/>
      <c r="O274" s="74"/>
      <c r="P274" s="74"/>
    </row>
    <row r="275" ht="15.75" customHeight="1">
      <c r="A275" s="5"/>
      <c r="B275" s="5"/>
      <c r="C275" s="5"/>
      <c r="D275" s="5"/>
      <c r="E275" s="5"/>
      <c r="F275" s="148"/>
      <c r="G275" s="9"/>
      <c r="H275" s="74"/>
      <c r="I275" s="74"/>
      <c r="J275" s="74"/>
      <c r="K275" s="74"/>
      <c r="L275" s="74"/>
      <c r="M275" s="74"/>
      <c r="N275" s="74"/>
      <c r="O275" s="74"/>
      <c r="P275" s="74"/>
    </row>
    <row r="276" ht="15.75" customHeight="1">
      <c r="A276" s="5"/>
      <c r="B276" s="5"/>
      <c r="C276" s="5"/>
      <c r="D276" s="5"/>
      <c r="E276" s="5"/>
      <c r="F276" s="148"/>
      <c r="G276" s="9"/>
      <c r="H276" s="74"/>
      <c r="I276" s="74"/>
      <c r="J276" s="74"/>
      <c r="K276" s="74"/>
      <c r="L276" s="74"/>
      <c r="M276" s="74"/>
      <c r="N276" s="74"/>
      <c r="O276" s="74"/>
      <c r="P276" s="74"/>
    </row>
    <row r="277" ht="15.75" customHeight="1">
      <c r="A277" s="5"/>
      <c r="B277" s="5"/>
      <c r="C277" s="5"/>
      <c r="D277" s="5"/>
      <c r="E277" s="5"/>
      <c r="F277" s="148"/>
      <c r="G277" s="9"/>
      <c r="H277" s="74"/>
      <c r="I277" s="74"/>
      <c r="J277" s="74"/>
      <c r="K277" s="74"/>
      <c r="L277" s="74"/>
      <c r="M277" s="74"/>
      <c r="N277" s="74"/>
      <c r="O277" s="74"/>
      <c r="P277" s="74"/>
    </row>
    <row r="278" ht="15.75" customHeight="1">
      <c r="A278" s="5"/>
      <c r="B278" s="5"/>
      <c r="C278" s="5"/>
      <c r="D278" s="5"/>
      <c r="E278" s="5"/>
      <c r="F278" s="148"/>
      <c r="G278" s="9"/>
      <c r="H278" s="74"/>
      <c r="I278" s="74"/>
      <c r="J278" s="74"/>
      <c r="K278" s="74"/>
      <c r="L278" s="74"/>
      <c r="M278" s="74"/>
      <c r="N278" s="74"/>
      <c r="O278" s="74"/>
      <c r="P278" s="74"/>
    </row>
    <row r="279" ht="15.75" customHeight="1">
      <c r="A279" s="5"/>
      <c r="B279" s="5"/>
      <c r="C279" s="5"/>
      <c r="D279" s="5"/>
      <c r="E279" s="5"/>
      <c r="F279" s="148"/>
      <c r="G279" s="9"/>
      <c r="H279" s="74"/>
      <c r="I279" s="74"/>
      <c r="J279" s="74"/>
      <c r="K279" s="74"/>
      <c r="L279" s="74"/>
      <c r="M279" s="74"/>
      <c r="N279" s="74"/>
      <c r="O279" s="74"/>
      <c r="P279" s="74"/>
    </row>
    <row r="280" ht="15.75" customHeight="1">
      <c r="A280" s="5"/>
      <c r="B280" s="5"/>
      <c r="C280" s="5"/>
      <c r="D280" s="5"/>
      <c r="E280" s="5"/>
      <c r="F280" s="148"/>
      <c r="G280" s="9"/>
      <c r="H280" s="74"/>
      <c r="I280" s="74"/>
      <c r="J280" s="74"/>
      <c r="K280" s="74"/>
      <c r="L280" s="74"/>
      <c r="M280" s="74"/>
      <c r="N280" s="74"/>
      <c r="O280" s="74"/>
      <c r="P280" s="74"/>
    </row>
    <row r="281" ht="15.75" customHeight="1">
      <c r="A281" s="5"/>
      <c r="B281" s="5"/>
      <c r="C281" s="5"/>
      <c r="D281" s="5"/>
      <c r="E281" s="5"/>
      <c r="F281" s="148"/>
      <c r="G281" s="9"/>
      <c r="H281" s="74"/>
      <c r="I281" s="74"/>
      <c r="J281" s="74"/>
      <c r="K281" s="74"/>
      <c r="L281" s="74"/>
      <c r="M281" s="74"/>
      <c r="N281" s="74"/>
      <c r="O281" s="74"/>
      <c r="P281" s="74"/>
    </row>
    <row r="282" ht="15.75" customHeight="1">
      <c r="A282" s="5"/>
      <c r="B282" s="5"/>
      <c r="C282" s="5"/>
      <c r="D282" s="5"/>
      <c r="E282" s="5"/>
      <c r="F282" s="148"/>
      <c r="G282" s="9"/>
      <c r="H282" s="74"/>
      <c r="I282" s="74"/>
      <c r="J282" s="74"/>
      <c r="K282" s="74"/>
      <c r="L282" s="74"/>
      <c r="M282" s="74"/>
      <c r="N282" s="74"/>
      <c r="O282" s="74"/>
      <c r="P282" s="74"/>
    </row>
    <row r="283" ht="15.75" customHeight="1">
      <c r="A283" s="5"/>
      <c r="B283" s="5"/>
      <c r="C283" s="5"/>
      <c r="D283" s="5"/>
      <c r="E283" s="5"/>
      <c r="F283" s="148"/>
      <c r="G283" s="9"/>
      <c r="H283" s="74"/>
      <c r="I283" s="74"/>
      <c r="J283" s="74"/>
      <c r="K283" s="74"/>
      <c r="L283" s="74"/>
      <c r="M283" s="74"/>
      <c r="N283" s="74"/>
      <c r="O283" s="74"/>
      <c r="P283" s="74"/>
    </row>
    <row r="284" ht="15.75" customHeight="1">
      <c r="A284" s="5"/>
      <c r="B284" s="5"/>
      <c r="C284" s="5"/>
      <c r="D284" s="5"/>
      <c r="E284" s="5"/>
      <c r="F284" s="148"/>
      <c r="G284" s="9"/>
      <c r="H284" s="74"/>
      <c r="I284" s="74"/>
      <c r="J284" s="74"/>
      <c r="K284" s="74"/>
      <c r="L284" s="74"/>
      <c r="M284" s="74"/>
      <c r="N284" s="74"/>
      <c r="O284" s="74"/>
      <c r="P284" s="74"/>
    </row>
    <row r="285" ht="15.75" customHeight="1">
      <c r="A285" s="5"/>
      <c r="B285" s="5"/>
      <c r="C285" s="5"/>
      <c r="D285" s="5"/>
      <c r="E285" s="5"/>
      <c r="F285" s="148"/>
      <c r="G285" s="9"/>
      <c r="H285" s="74"/>
      <c r="I285" s="74"/>
      <c r="J285" s="74"/>
      <c r="K285" s="74"/>
      <c r="L285" s="74"/>
      <c r="M285" s="74"/>
      <c r="N285" s="74"/>
      <c r="O285" s="74"/>
      <c r="P285" s="74"/>
    </row>
    <row r="286" ht="15.75" customHeight="1">
      <c r="A286" s="5"/>
      <c r="B286" s="5"/>
      <c r="C286" s="5"/>
      <c r="D286" s="5"/>
      <c r="E286" s="5"/>
      <c r="F286" s="148"/>
      <c r="G286" s="9"/>
      <c r="H286" s="74"/>
      <c r="I286" s="74"/>
      <c r="J286" s="74"/>
      <c r="K286" s="74"/>
      <c r="L286" s="74"/>
      <c r="M286" s="74"/>
      <c r="N286" s="74"/>
      <c r="O286" s="74"/>
      <c r="P286" s="74"/>
    </row>
    <row r="287" ht="15.75" customHeight="1">
      <c r="A287" s="5"/>
      <c r="B287" s="5"/>
      <c r="C287" s="5"/>
      <c r="D287" s="5"/>
      <c r="E287" s="5"/>
      <c r="F287" s="148"/>
      <c r="G287" s="9"/>
      <c r="H287" s="74"/>
      <c r="I287" s="74"/>
      <c r="J287" s="74"/>
      <c r="K287" s="74"/>
      <c r="L287" s="74"/>
      <c r="M287" s="74"/>
      <c r="N287" s="74"/>
      <c r="O287" s="74"/>
      <c r="P287" s="74"/>
    </row>
    <row r="288" ht="15.75" customHeight="1">
      <c r="A288" s="5"/>
      <c r="B288" s="5"/>
      <c r="C288" s="5"/>
      <c r="D288" s="5"/>
      <c r="E288" s="5"/>
      <c r="F288" s="148"/>
      <c r="G288" s="9"/>
      <c r="H288" s="74"/>
      <c r="I288" s="74"/>
      <c r="J288" s="74"/>
      <c r="K288" s="74"/>
      <c r="L288" s="74"/>
      <c r="M288" s="74"/>
      <c r="N288" s="74"/>
      <c r="O288" s="74"/>
      <c r="P288" s="74"/>
    </row>
    <row r="289" ht="15.75" customHeight="1">
      <c r="A289" s="5"/>
      <c r="B289" s="5"/>
      <c r="C289" s="5"/>
      <c r="D289" s="5"/>
      <c r="E289" s="5"/>
      <c r="F289" s="148"/>
      <c r="G289" s="9"/>
      <c r="H289" s="74"/>
      <c r="I289" s="74"/>
      <c r="J289" s="74"/>
      <c r="K289" s="74"/>
      <c r="L289" s="74"/>
      <c r="M289" s="74"/>
      <c r="N289" s="74"/>
      <c r="O289" s="74"/>
      <c r="P289" s="74"/>
    </row>
    <row r="290" ht="15.75" customHeight="1">
      <c r="A290" s="5"/>
      <c r="B290" s="5"/>
      <c r="C290" s="5"/>
      <c r="D290" s="5"/>
      <c r="E290" s="5"/>
      <c r="F290" s="148"/>
      <c r="G290" s="9"/>
      <c r="H290" s="74"/>
      <c r="I290" s="74"/>
      <c r="J290" s="74"/>
      <c r="K290" s="74"/>
      <c r="L290" s="74"/>
      <c r="M290" s="74"/>
      <c r="N290" s="74"/>
      <c r="O290" s="74"/>
      <c r="P290" s="74"/>
    </row>
    <row r="291" ht="15.75" customHeight="1">
      <c r="A291" s="5"/>
      <c r="B291" s="5"/>
      <c r="C291" s="5"/>
      <c r="D291" s="5"/>
      <c r="E291" s="5"/>
      <c r="F291" s="148"/>
      <c r="G291" s="9"/>
      <c r="H291" s="74"/>
      <c r="I291" s="74"/>
      <c r="J291" s="74"/>
      <c r="K291" s="74"/>
      <c r="L291" s="74"/>
      <c r="M291" s="74"/>
      <c r="N291" s="74"/>
      <c r="O291" s="74"/>
      <c r="P291" s="74"/>
    </row>
    <row r="292" ht="15.75" customHeight="1">
      <c r="A292" s="5"/>
      <c r="B292" s="5"/>
      <c r="C292" s="5"/>
      <c r="D292" s="5"/>
      <c r="E292" s="5"/>
      <c r="F292" s="148"/>
      <c r="G292" s="9"/>
      <c r="H292" s="74"/>
      <c r="I292" s="74"/>
      <c r="J292" s="74"/>
      <c r="K292" s="74"/>
      <c r="L292" s="74"/>
      <c r="M292" s="74"/>
      <c r="N292" s="74"/>
      <c r="O292" s="74"/>
      <c r="P292" s="74"/>
    </row>
    <row r="293" ht="15.75" customHeight="1">
      <c r="A293" s="5"/>
      <c r="B293" s="5"/>
      <c r="C293" s="5"/>
      <c r="D293" s="5"/>
      <c r="E293" s="5"/>
      <c r="F293" s="148"/>
      <c r="G293" s="9"/>
      <c r="H293" s="74"/>
      <c r="I293" s="74"/>
      <c r="J293" s="74"/>
      <c r="K293" s="74"/>
      <c r="L293" s="74"/>
      <c r="M293" s="74"/>
      <c r="N293" s="74"/>
      <c r="O293" s="74"/>
      <c r="P293" s="74"/>
    </row>
    <row r="294" ht="15.75" customHeight="1">
      <c r="A294" s="5"/>
      <c r="B294" s="5"/>
      <c r="C294" s="5"/>
      <c r="D294" s="5"/>
      <c r="E294" s="5"/>
      <c r="F294" s="148"/>
      <c r="G294" s="9"/>
      <c r="H294" s="74"/>
      <c r="I294" s="74"/>
      <c r="J294" s="74"/>
      <c r="K294" s="74"/>
      <c r="L294" s="74"/>
      <c r="M294" s="74"/>
      <c r="N294" s="74"/>
      <c r="O294" s="74"/>
      <c r="P294" s="74"/>
    </row>
    <row r="295" ht="15.75" customHeight="1">
      <c r="A295" s="5"/>
      <c r="B295" s="5"/>
      <c r="C295" s="5"/>
      <c r="D295" s="5"/>
      <c r="E295" s="5"/>
      <c r="F295" s="148"/>
      <c r="G295" s="9"/>
      <c r="H295" s="74"/>
      <c r="I295" s="74"/>
      <c r="J295" s="74"/>
      <c r="K295" s="74"/>
      <c r="L295" s="74"/>
      <c r="M295" s="74"/>
      <c r="N295" s="74"/>
      <c r="O295" s="74"/>
      <c r="P295" s="74"/>
    </row>
    <row r="296" ht="15.75" customHeight="1">
      <c r="A296" s="5"/>
      <c r="B296" s="5"/>
      <c r="C296" s="5"/>
      <c r="D296" s="5"/>
      <c r="E296" s="5"/>
      <c r="F296" s="148"/>
      <c r="G296" s="9"/>
      <c r="H296" s="74"/>
      <c r="I296" s="74"/>
      <c r="J296" s="74"/>
      <c r="K296" s="74"/>
      <c r="L296" s="74"/>
      <c r="M296" s="74"/>
      <c r="N296" s="74"/>
      <c r="O296" s="74"/>
      <c r="P296" s="74"/>
    </row>
    <row r="297" ht="15.75" customHeight="1">
      <c r="A297" s="5"/>
      <c r="B297" s="5"/>
      <c r="C297" s="5"/>
      <c r="D297" s="5"/>
      <c r="E297" s="5"/>
      <c r="F297" s="148"/>
      <c r="G297" s="9"/>
      <c r="H297" s="74"/>
      <c r="I297" s="74"/>
      <c r="J297" s="74"/>
      <c r="K297" s="74"/>
      <c r="L297" s="74"/>
      <c r="M297" s="74"/>
      <c r="N297" s="74"/>
      <c r="O297" s="74"/>
      <c r="P297" s="74"/>
    </row>
    <row r="298" ht="15.75" customHeight="1">
      <c r="A298" s="5"/>
      <c r="B298" s="5"/>
      <c r="C298" s="5"/>
      <c r="D298" s="5"/>
      <c r="E298" s="5"/>
      <c r="F298" s="148"/>
      <c r="G298" s="9"/>
      <c r="H298" s="74"/>
      <c r="I298" s="74"/>
      <c r="J298" s="74"/>
      <c r="K298" s="74"/>
      <c r="L298" s="74"/>
      <c r="M298" s="74"/>
      <c r="N298" s="74"/>
      <c r="O298" s="74"/>
      <c r="P298" s="74"/>
    </row>
    <row r="299" ht="15.75" customHeight="1">
      <c r="A299" s="5"/>
      <c r="B299" s="5"/>
      <c r="C299" s="5"/>
      <c r="D299" s="5"/>
      <c r="E299" s="5"/>
      <c r="F299" s="148"/>
      <c r="G299" s="9"/>
      <c r="H299" s="74"/>
      <c r="I299" s="74"/>
      <c r="J299" s="74"/>
      <c r="K299" s="74"/>
      <c r="L299" s="74"/>
      <c r="M299" s="74"/>
      <c r="N299" s="74"/>
      <c r="O299" s="74"/>
      <c r="P299" s="74"/>
    </row>
    <row r="300" ht="15.75" customHeight="1">
      <c r="A300" s="5"/>
      <c r="B300" s="5"/>
      <c r="C300" s="5"/>
      <c r="D300" s="5"/>
      <c r="E300" s="5"/>
      <c r="F300" s="148"/>
      <c r="G300" s="9"/>
      <c r="H300" s="74"/>
      <c r="I300" s="74"/>
      <c r="J300" s="74"/>
      <c r="K300" s="74"/>
      <c r="L300" s="74"/>
      <c r="M300" s="74"/>
      <c r="N300" s="74"/>
      <c r="O300" s="74"/>
      <c r="P300" s="74"/>
    </row>
    <row r="301" ht="15.75" customHeight="1">
      <c r="A301" s="5"/>
      <c r="B301" s="5"/>
      <c r="C301" s="5"/>
      <c r="D301" s="5"/>
      <c r="E301" s="5"/>
      <c r="F301" s="148"/>
      <c r="G301" s="9"/>
      <c r="H301" s="74"/>
      <c r="I301" s="74"/>
      <c r="J301" s="74"/>
      <c r="K301" s="74"/>
      <c r="L301" s="74"/>
      <c r="M301" s="74"/>
      <c r="N301" s="74"/>
      <c r="O301" s="74"/>
      <c r="P301" s="74"/>
    </row>
    <row r="302" ht="15.75" customHeight="1">
      <c r="A302" s="5"/>
      <c r="B302" s="5"/>
      <c r="C302" s="5"/>
      <c r="D302" s="5"/>
      <c r="E302" s="5"/>
      <c r="F302" s="148"/>
      <c r="G302" s="9"/>
      <c r="H302" s="74"/>
      <c r="I302" s="74"/>
      <c r="J302" s="74"/>
      <c r="K302" s="74"/>
      <c r="L302" s="74"/>
      <c r="M302" s="74"/>
      <c r="N302" s="74"/>
      <c r="O302" s="74"/>
      <c r="P302" s="74"/>
    </row>
    <row r="303" ht="15.75" customHeight="1">
      <c r="A303" s="5"/>
      <c r="B303" s="5"/>
      <c r="C303" s="5"/>
      <c r="D303" s="5"/>
      <c r="E303" s="5"/>
      <c r="F303" s="148"/>
      <c r="G303" s="9"/>
      <c r="H303" s="74"/>
      <c r="I303" s="74"/>
      <c r="J303" s="74"/>
      <c r="K303" s="74"/>
      <c r="L303" s="74"/>
      <c r="M303" s="74"/>
      <c r="N303" s="74"/>
      <c r="O303" s="74"/>
      <c r="P303" s="74"/>
    </row>
    <row r="304" ht="15.75" customHeight="1">
      <c r="A304" s="5"/>
      <c r="B304" s="5"/>
      <c r="C304" s="5"/>
      <c r="D304" s="5"/>
      <c r="E304" s="5"/>
      <c r="F304" s="148"/>
      <c r="G304" s="9"/>
      <c r="H304" s="74"/>
      <c r="I304" s="74"/>
      <c r="J304" s="74"/>
      <c r="K304" s="74"/>
      <c r="L304" s="74"/>
      <c r="M304" s="74"/>
      <c r="N304" s="74"/>
      <c r="O304" s="74"/>
      <c r="P304" s="74"/>
    </row>
    <row r="305" ht="15.75" customHeight="1">
      <c r="A305" s="5"/>
      <c r="B305" s="5"/>
      <c r="C305" s="5"/>
      <c r="D305" s="5"/>
      <c r="E305" s="5"/>
      <c r="F305" s="148"/>
      <c r="G305" s="9"/>
      <c r="H305" s="74"/>
      <c r="I305" s="74"/>
      <c r="J305" s="74"/>
      <c r="K305" s="74"/>
      <c r="L305" s="74"/>
      <c r="M305" s="74"/>
      <c r="N305" s="74"/>
      <c r="O305" s="74"/>
      <c r="P305" s="74"/>
    </row>
    <row r="306" ht="15.75" customHeight="1">
      <c r="A306" s="5"/>
      <c r="B306" s="5"/>
      <c r="C306" s="5"/>
      <c r="D306" s="5"/>
      <c r="E306" s="5"/>
      <c r="F306" s="148"/>
      <c r="G306" s="9"/>
      <c r="H306" s="74"/>
      <c r="I306" s="74"/>
      <c r="J306" s="74"/>
      <c r="K306" s="74"/>
      <c r="L306" s="74"/>
      <c r="M306" s="74"/>
      <c r="N306" s="74"/>
      <c r="O306" s="74"/>
      <c r="P306" s="74"/>
    </row>
    <row r="307" ht="15.75" customHeight="1">
      <c r="A307" s="5"/>
      <c r="B307" s="5"/>
      <c r="C307" s="5"/>
      <c r="D307" s="5"/>
      <c r="E307" s="5"/>
      <c r="F307" s="148"/>
      <c r="G307" s="9"/>
      <c r="H307" s="74"/>
      <c r="I307" s="74"/>
      <c r="J307" s="74"/>
      <c r="K307" s="74"/>
      <c r="L307" s="74"/>
      <c r="M307" s="74"/>
      <c r="N307" s="74"/>
      <c r="O307" s="74"/>
      <c r="P307" s="74"/>
    </row>
    <row r="308" ht="15.75" customHeight="1">
      <c r="A308" s="5"/>
      <c r="B308" s="5"/>
      <c r="C308" s="5"/>
      <c r="D308" s="5"/>
      <c r="E308" s="5"/>
      <c r="F308" s="148"/>
      <c r="G308" s="9"/>
      <c r="H308" s="74"/>
      <c r="I308" s="74"/>
      <c r="J308" s="74"/>
      <c r="K308" s="74"/>
      <c r="L308" s="74"/>
      <c r="M308" s="74"/>
      <c r="N308" s="74"/>
      <c r="O308" s="74"/>
      <c r="P308" s="74"/>
    </row>
    <row r="309" ht="15.75" customHeight="1">
      <c r="A309" s="5"/>
      <c r="B309" s="5"/>
      <c r="C309" s="5"/>
      <c r="D309" s="5"/>
      <c r="E309" s="5"/>
      <c r="F309" s="148"/>
      <c r="G309" s="9"/>
      <c r="H309" s="74"/>
      <c r="I309" s="74"/>
      <c r="J309" s="74"/>
      <c r="K309" s="74"/>
      <c r="L309" s="74"/>
      <c r="M309" s="74"/>
      <c r="N309" s="74"/>
      <c r="O309" s="74"/>
      <c r="P309" s="74"/>
    </row>
    <row r="310" ht="15.75" customHeight="1">
      <c r="A310" s="5"/>
      <c r="B310" s="5"/>
      <c r="C310" s="5"/>
      <c r="D310" s="5"/>
      <c r="E310" s="5"/>
      <c r="F310" s="148"/>
      <c r="G310" s="9"/>
      <c r="H310" s="74"/>
      <c r="I310" s="74"/>
      <c r="J310" s="74"/>
      <c r="K310" s="74"/>
      <c r="L310" s="74"/>
      <c r="M310" s="74"/>
      <c r="N310" s="74"/>
      <c r="O310" s="74"/>
      <c r="P310" s="74"/>
    </row>
    <row r="311" ht="15.75" customHeight="1">
      <c r="A311" s="5"/>
      <c r="B311" s="5"/>
      <c r="C311" s="5"/>
      <c r="D311" s="5"/>
      <c r="E311" s="5"/>
      <c r="F311" s="148"/>
      <c r="G311" s="9"/>
      <c r="H311" s="74"/>
      <c r="I311" s="74"/>
      <c r="J311" s="74"/>
      <c r="K311" s="74"/>
      <c r="L311" s="74"/>
      <c r="M311" s="74"/>
      <c r="N311" s="74"/>
      <c r="O311" s="74"/>
      <c r="P311" s="74"/>
    </row>
    <row r="312" ht="15.75" customHeight="1">
      <c r="A312" s="5"/>
      <c r="B312" s="5"/>
      <c r="C312" s="5"/>
      <c r="D312" s="5"/>
      <c r="E312" s="5"/>
      <c r="F312" s="148"/>
      <c r="G312" s="9"/>
      <c r="H312" s="74"/>
      <c r="I312" s="74"/>
      <c r="J312" s="74"/>
      <c r="K312" s="74"/>
      <c r="L312" s="74"/>
      <c r="M312" s="74"/>
      <c r="N312" s="74"/>
      <c r="O312" s="74"/>
      <c r="P312" s="74"/>
    </row>
    <row r="313" ht="15.75" customHeight="1">
      <c r="A313" s="5"/>
      <c r="B313" s="5"/>
      <c r="C313" s="5"/>
      <c r="D313" s="5"/>
      <c r="E313" s="5"/>
      <c r="F313" s="148"/>
      <c r="G313" s="9"/>
      <c r="H313" s="74"/>
      <c r="I313" s="74"/>
      <c r="J313" s="74"/>
      <c r="K313" s="74"/>
      <c r="L313" s="74"/>
      <c r="M313" s="74"/>
      <c r="N313" s="74"/>
      <c r="O313" s="74"/>
      <c r="P313" s="74"/>
    </row>
    <row r="314" ht="15.75" customHeight="1">
      <c r="A314" s="5"/>
      <c r="B314" s="5"/>
      <c r="C314" s="5"/>
      <c r="D314" s="5"/>
      <c r="E314" s="5"/>
      <c r="F314" s="148"/>
      <c r="G314" s="9"/>
      <c r="H314" s="74"/>
      <c r="I314" s="74"/>
      <c r="J314" s="74"/>
      <c r="K314" s="74"/>
      <c r="L314" s="74"/>
      <c r="M314" s="74"/>
      <c r="N314" s="74"/>
      <c r="O314" s="74"/>
      <c r="P314" s="74"/>
    </row>
    <row r="315" ht="15.75" customHeight="1">
      <c r="A315" s="5"/>
      <c r="B315" s="5"/>
      <c r="C315" s="5"/>
      <c r="D315" s="5"/>
      <c r="E315" s="5"/>
      <c r="F315" s="148"/>
      <c r="G315" s="9"/>
      <c r="H315" s="74"/>
      <c r="I315" s="74"/>
      <c r="J315" s="74"/>
      <c r="K315" s="74"/>
      <c r="L315" s="74"/>
      <c r="M315" s="74"/>
      <c r="N315" s="74"/>
      <c r="O315" s="74"/>
      <c r="P315" s="74"/>
    </row>
    <row r="316" ht="15.75" customHeight="1">
      <c r="A316" s="5"/>
      <c r="B316" s="5"/>
      <c r="C316" s="5"/>
      <c r="D316" s="5"/>
      <c r="E316" s="5"/>
      <c r="F316" s="148"/>
      <c r="G316" s="9"/>
      <c r="H316" s="74"/>
      <c r="I316" s="74"/>
      <c r="J316" s="74"/>
      <c r="K316" s="74"/>
      <c r="L316" s="74"/>
      <c r="M316" s="74"/>
      <c r="N316" s="74"/>
      <c r="O316" s="74"/>
      <c r="P316" s="74"/>
    </row>
    <row r="317" ht="15.75" customHeight="1">
      <c r="A317" s="5"/>
      <c r="B317" s="5"/>
      <c r="C317" s="5"/>
      <c r="D317" s="5"/>
      <c r="E317" s="5"/>
      <c r="F317" s="148"/>
      <c r="G317" s="9"/>
      <c r="H317" s="74"/>
      <c r="I317" s="74"/>
      <c r="J317" s="74"/>
      <c r="K317" s="74"/>
      <c r="L317" s="74"/>
      <c r="M317" s="74"/>
      <c r="N317" s="74"/>
      <c r="O317" s="74"/>
      <c r="P317" s="74"/>
    </row>
    <row r="318" ht="15.75" customHeight="1">
      <c r="A318" s="5"/>
      <c r="B318" s="5"/>
      <c r="C318" s="5"/>
      <c r="D318" s="5"/>
      <c r="E318" s="5"/>
      <c r="F318" s="148"/>
      <c r="G318" s="9"/>
      <c r="H318" s="74"/>
      <c r="I318" s="74"/>
      <c r="J318" s="74"/>
      <c r="K318" s="74"/>
      <c r="L318" s="74"/>
      <c r="M318" s="74"/>
      <c r="N318" s="74"/>
      <c r="O318" s="74"/>
      <c r="P318" s="74"/>
    </row>
    <row r="319" ht="15.75" customHeight="1">
      <c r="A319" s="5"/>
      <c r="B319" s="5"/>
      <c r="C319" s="5"/>
      <c r="D319" s="5"/>
      <c r="E319" s="5"/>
      <c r="F319" s="148"/>
      <c r="G319" s="9"/>
      <c r="H319" s="74"/>
      <c r="I319" s="74"/>
      <c r="J319" s="74"/>
      <c r="K319" s="74"/>
      <c r="L319" s="74"/>
      <c r="M319" s="74"/>
      <c r="N319" s="74"/>
      <c r="O319" s="74"/>
      <c r="P319" s="74"/>
    </row>
    <row r="320" ht="15.75" customHeight="1">
      <c r="A320" s="5"/>
      <c r="B320" s="5"/>
      <c r="C320" s="5"/>
      <c r="D320" s="5"/>
      <c r="E320" s="5"/>
      <c r="F320" s="148"/>
      <c r="G320" s="9"/>
      <c r="H320" s="74"/>
      <c r="I320" s="74"/>
      <c r="J320" s="74"/>
      <c r="K320" s="74"/>
      <c r="L320" s="74"/>
      <c r="M320" s="74"/>
      <c r="N320" s="74"/>
      <c r="O320" s="74"/>
      <c r="P320" s="74"/>
    </row>
    <row r="321" ht="15.75" customHeight="1">
      <c r="A321" s="5"/>
      <c r="B321" s="5"/>
      <c r="C321" s="5"/>
      <c r="D321" s="5"/>
      <c r="E321" s="5"/>
      <c r="F321" s="148"/>
      <c r="G321" s="9"/>
      <c r="H321" s="74"/>
      <c r="I321" s="74"/>
      <c r="J321" s="74"/>
      <c r="K321" s="74"/>
      <c r="L321" s="74"/>
      <c r="M321" s="74"/>
      <c r="N321" s="74"/>
      <c r="O321" s="74"/>
      <c r="P321" s="74"/>
    </row>
    <row r="322" ht="15.75" customHeight="1">
      <c r="A322" s="5"/>
      <c r="B322" s="5"/>
      <c r="C322" s="5"/>
      <c r="D322" s="5"/>
      <c r="E322" s="5"/>
      <c r="F322" s="148"/>
      <c r="G322" s="9"/>
      <c r="H322" s="74"/>
      <c r="I322" s="74"/>
      <c r="J322" s="74"/>
      <c r="K322" s="74"/>
      <c r="L322" s="74"/>
      <c r="M322" s="74"/>
      <c r="N322" s="74"/>
      <c r="O322" s="74"/>
      <c r="P322" s="74"/>
    </row>
    <row r="323" ht="15.75" customHeight="1">
      <c r="A323" s="5"/>
      <c r="B323" s="5"/>
      <c r="C323" s="5"/>
      <c r="D323" s="5"/>
      <c r="E323" s="5"/>
      <c r="F323" s="148"/>
      <c r="G323" s="9"/>
      <c r="H323" s="74"/>
      <c r="I323" s="74"/>
      <c r="J323" s="74"/>
      <c r="K323" s="74"/>
      <c r="L323" s="74"/>
      <c r="M323" s="74"/>
      <c r="N323" s="74"/>
      <c r="O323" s="74"/>
      <c r="P323" s="74"/>
    </row>
    <row r="324" ht="15.75" customHeight="1">
      <c r="A324" s="5"/>
      <c r="B324" s="5"/>
      <c r="C324" s="5"/>
      <c r="D324" s="5"/>
      <c r="E324" s="5"/>
      <c r="F324" s="148"/>
      <c r="G324" s="9"/>
      <c r="H324" s="74"/>
      <c r="I324" s="74"/>
      <c r="J324" s="74"/>
      <c r="K324" s="74"/>
      <c r="L324" s="74"/>
      <c r="M324" s="74"/>
      <c r="N324" s="74"/>
      <c r="O324" s="74"/>
      <c r="P324" s="74"/>
    </row>
    <row r="325" ht="15.75" customHeight="1">
      <c r="A325" s="5"/>
      <c r="B325" s="5"/>
      <c r="C325" s="5"/>
      <c r="D325" s="5"/>
      <c r="E325" s="5"/>
      <c r="F325" s="148"/>
      <c r="G325" s="9"/>
      <c r="H325" s="74"/>
      <c r="I325" s="74"/>
      <c r="J325" s="74"/>
      <c r="K325" s="74"/>
      <c r="L325" s="74"/>
      <c r="M325" s="74"/>
      <c r="N325" s="74"/>
      <c r="O325" s="74"/>
      <c r="P325" s="74"/>
    </row>
    <row r="326" ht="15.75" customHeight="1">
      <c r="A326" s="5"/>
      <c r="B326" s="5"/>
      <c r="C326" s="5"/>
      <c r="D326" s="5"/>
      <c r="E326" s="5"/>
      <c r="F326" s="148"/>
      <c r="G326" s="9"/>
      <c r="H326" s="74"/>
      <c r="I326" s="74"/>
      <c r="J326" s="74"/>
      <c r="K326" s="74"/>
      <c r="L326" s="74"/>
      <c r="M326" s="74"/>
      <c r="N326" s="74"/>
      <c r="O326" s="74"/>
      <c r="P326" s="74"/>
    </row>
    <row r="327" ht="15.75" customHeight="1">
      <c r="A327" s="5"/>
      <c r="B327" s="5"/>
      <c r="C327" s="5"/>
      <c r="D327" s="5"/>
      <c r="E327" s="5"/>
      <c r="F327" s="148"/>
      <c r="G327" s="9"/>
      <c r="H327" s="74"/>
      <c r="I327" s="74"/>
      <c r="J327" s="74"/>
      <c r="K327" s="74"/>
      <c r="L327" s="74"/>
      <c r="M327" s="74"/>
      <c r="N327" s="74"/>
      <c r="O327" s="74"/>
      <c r="P327" s="74"/>
    </row>
    <row r="328" ht="15.75" customHeight="1">
      <c r="A328" s="5"/>
      <c r="B328" s="5"/>
      <c r="C328" s="5"/>
      <c r="D328" s="5"/>
      <c r="E328" s="5"/>
      <c r="F328" s="148"/>
      <c r="G328" s="9"/>
      <c r="H328" s="74"/>
      <c r="I328" s="74"/>
      <c r="J328" s="74"/>
      <c r="K328" s="74"/>
      <c r="L328" s="74"/>
      <c r="M328" s="74"/>
      <c r="N328" s="74"/>
      <c r="O328" s="74"/>
      <c r="P328" s="74"/>
    </row>
    <row r="329" ht="15.75" customHeight="1">
      <c r="A329" s="5"/>
      <c r="B329" s="5"/>
      <c r="C329" s="5"/>
      <c r="D329" s="5"/>
      <c r="E329" s="5"/>
      <c r="F329" s="148"/>
      <c r="G329" s="9"/>
      <c r="H329" s="74"/>
      <c r="I329" s="74"/>
      <c r="J329" s="74"/>
      <c r="K329" s="74"/>
      <c r="L329" s="74"/>
      <c r="M329" s="74"/>
      <c r="N329" s="74"/>
      <c r="O329" s="74"/>
      <c r="P329" s="74"/>
    </row>
    <row r="330" ht="15.75" customHeight="1">
      <c r="A330" s="5"/>
      <c r="B330" s="5"/>
      <c r="C330" s="5"/>
      <c r="D330" s="5"/>
      <c r="E330" s="5"/>
      <c r="F330" s="148"/>
      <c r="G330" s="9"/>
      <c r="H330" s="74"/>
      <c r="I330" s="74"/>
      <c r="J330" s="74"/>
      <c r="K330" s="74"/>
      <c r="L330" s="74"/>
      <c r="M330" s="74"/>
      <c r="N330" s="74"/>
      <c r="O330" s="74"/>
      <c r="P330" s="74"/>
    </row>
    <row r="331" ht="15.75" customHeight="1">
      <c r="A331" s="5"/>
      <c r="B331" s="5"/>
      <c r="C331" s="5"/>
      <c r="D331" s="5"/>
      <c r="E331" s="5"/>
      <c r="F331" s="148"/>
      <c r="G331" s="9"/>
      <c r="H331" s="74"/>
      <c r="I331" s="74"/>
      <c r="J331" s="74"/>
      <c r="K331" s="74"/>
      <c r="L331" s="74"/>
      <c r="M331" s="74"/>
      <c r="N331" s="74"/>
      <c r="O331" s="74"/>
      <c r="P331" s="74"/>
    </row>
    <row r="332" ht="15.75" customHeight="1">
      <c r="A332" s="5"/>
      <c r="B332" s="5"/>
      <c r="C332" s="5"/>
      <c r="D332" s="5"/>
      <c r="E332" s="5"/>
      <c r="F332" s="148"/>
      <c r="G332" s="9"/>
      <c r="H332" s="74"/>
      <c r="I332" s="74"/>
      <c r="J332" s="74"/>
      <c r="K332" s="74"/>
      <c r="L332" s="74"/>
      <c r="M332" s="74"/>
      <c r="N332" s="74"/>
      <c r="O332" s="74"/>
      <c r="P332" s="74"/>
    </row>
    <row r="333" ht="15.75" customHeight="1">
      <c r="A333" s="5"/>
      <c r="B333" s="5"/>
      <c r="C333" s="5"/>
      <c r="D333" s="5"/>
      <c r="E333" s="5"/>
      <c r="F333" s="148"/>
      <c r="G333" s="9"/>
      <c r="H333" s="74"/>
      <c r="I333" s="74"/>
      <c r="J333" s="74"/>
      <c r="K333" s="74"/>
      <c r="L333" s="74"/>
      <c r="M333" s="74"/>
      <c r="N333" s="74"/>
      <c r="O333" s="74"/>
      <c r="P333" s="74"/>
    </row>
    <row r="334" ht="15.75" customHeight="1">
      <c r="A334" s="5"/>
      <c r="B334" s="5"/>
      <c r="C334" s="5"/>
      <c r="D334" s="5"/>
      <c r="E334" s="5"/>
      <c r="F334" s="148"/>
      <c r="G334" s="9"/>
      <c r="H334" s="74"/>
      <c r="I334" s="74"/>
      <c r="J334" s="74"/>
      <c r="K334" s="74"/>
      <c r="L334" s="74"/>
      <c r="M334" s="74"/>
      <c r="N334" s="74"/>
      <c r="O334" s="74"/>
      <c r="P334" s="74"/>
    </row>
    <row r="335" ht="15.75" customHeight="1">
      <c r="A335" s="5"/>
      <c r="B335" s="5"/>
      <c r="C335" s="5"/>
      <c r="D335" s="5"/>
      <c r="E335" s="5"/>
      <c r="F335" s="148"/>
      <c r="G335" s="9"/>
      <c r="H335" s="74"/>
      <c r="I335" s="74"/>
      <c r="J335" s="74"/>
      <c r="K335" s="74"/>
      <c r="L335" s="74"/>
      <c r="M335" s="74"/>
      <c r="N335" s="74"/>
      <c r="O335" s="74"/>
      <c r="P335" s="74"/>
    </row>
    <row r="336" ht="15.75" customHeight="1">
      <c r="A336" s="5"/>
      <c r="B336" s="5"/>
      <c r="C336" s="5"/>
      <c r="D336" s="5"/>
      <c r="E336" s="5"/>
      <c r="F336" s="148"/>
      <c r="G336" s="9"/>
      <c r="H336" s="74"/>
      <c r="I336" s="74"/>
      <c r="J336" s="74"/>
      <c r="K336" s="74"/>
      <c r="L336" s="74"/>
      <c r="M336" s="74"/>
      <c r="N336" s="74"/>
      <c r="O336" s="74"/>
      <c r="P336" s="74"/>
    </row>
    <row r="337" ht="15.75" customHeight="1">
      <c r="A337" s="5"/>
      <c r="B337" s="5"/>
      <c r="C337" s="5"/>
      <c r="D337" s="5"/>
      <c r="E337" s="5"/>
      <c r="F337" s="148"/>
      <c r="G337" s="9"/>
      <c r="H337" s="74"/>
      <c r="I337" s="74"/>
      <c r="J337" s="74"/>
      <c r="K337" s="74"/>
      <c r="L337" s="74"/>
      <c r="M337" s="74"/>
      <c r="N337" s="74"/>
      <c r="O337" s="74"/>
      <c r="P337" s="74"/>
    </row>
    <row r="338" ht="15.75" customHeight="1">
      <c r="A338" s="5"/>
      <c r="B338" s="5"/>
      <c r="C338" s="5"/>
      <c r="D338" s="5"/>
      <c r="E338" s="5"/>
      <c r="F338" s="148"/>
      <c r="G338" s="9"/>
      <c r="H338" s="74"/>
      <c r="I338" s="74"/>
      <c r="J338" s="74"/>
      <c r="K338" s="74"/>
      <c r="L338" s="74"/>
      <c r="M338" s="74"/>
      <c r="N338" s="74"/>
      <c r="O338" s="74"/>
      <c r="P338" s="74"/>
    </row>
    <row r="339" ht="15.75" customHeight="1">
      <c r="A339" s="5"/>
      <c r="B339" s="5"/>
      <c r="C339" s="5"/>
      <c r="D339" s="5"/>
      <c r="E339" s="5"/>
      <c r="F339" s="148"/>
      <c r="G339" s="9"/>
      <c r="H339" s="74"/>
      <c r="I339" s="74"/>
      <c r="J339" s="74"/>
      <c r="K339" s="74"/>
      <c r="L339" s="74"/>
      <c r="M339" s="74"/>
      <c r="N339" s="74"/>
      <c r="O339" s="74"/>
      <c r="P339" s="74"/>
    </row>
    <row r="340" ht="15.75" customHeight="1">
      <c r="A340" s="5"/>
      <c r="B340" s="5"/>
      <c r="C340" s="5"/>
      <c r="D340" s="5"/>
      <c r="E340" s="5"/>
      <c r="F340" s="148"/>
      <c r="G340" s="9"/>
      <c r="H340" s="74"/>
      <c r="I340" s="74"/>
      <c r="J340" s="74"/>
      <c r="K340" s="74"/>
      <c r="L340" s="74"/>
      <c r="M340" s="74"/>
      <c r="N340" s="74"/>
      <c r="O340" s="74"/>
      <c r="P340" s="74"/>
    </row>
    <row r="341" ht="15.75" customHeight="1">
      <c r="A341" s="5"/>
      <c r="B341" s="5"/>
      <c r="C341" s="5"/>
      <c r="D341" s="5"/>
      <c r="E341" s="5"/>
      <c r="F341" s="148"/>
      <c r="G341" s="9"/>
      <c r="H341" s="74"/>
      <c r="I341" s="74"/>
      <c r="J341" s="74"/>
      <c r="K341" s="74"/>
      <c r="L341" s="74"/>
      <c r="M341" s="74"/>
      <c r="N341" s="74"/>
      <c r="O341" s="74"/>
      <c r="P341" s="74"/>
    </row>
    <row r="342" ht="15.75" customHeight="1">
      <c r="A342" s="5"/>
      <c r="B342" s="5"/>
      <c r="C342" s="5"/>
      <c r="D342" s="5"/>
      <c r="E342" s="5"/>
      <c r="F342" s="148"/>
      <c r="G342" s="9"/>
      <c r="H342" s="74"/>
      <c r="I342" s="74"/>
      <c r="J342" s="74"/>
      <c r="K342" s="74"/>
      <c r="L342" s="74"/>
      <c r="M342" s="74"/>
      <c r="N342" s="74"/>
      <c r="O342" s="74"/>
      <c r="P342" s="74"/>
    </row>
    <row r="343" ht="15.75" customHeight="1">
      <c r="A343" s="5"/>
      <c r="B343" s="5"/>
      <c r="C343" s="5"/>
      <c r="D343" s="5"/>
      <c r="E343" s="5"/>
      <c r="F343" s="148"/>
      <c r="G343" s="9"/>
      <c r="H343" s="74"/>
      <c r="I343" s="74"/>
      <c r="J343" s="74"/>
      <c r="K343" s="74"/>
      <c r="L343" s="74"/>
      <c r="M343" s="74"/>
      <c r="N343" s="74"/>
      <c r="O343" s="74"/>
      <c r="P343" s="74"/>
    </row>
    <row r="344" ht="15.75" customHeight="1">
      <c r="A344" s="5"/>
      <c r="B344" s="5"/>
      <c r="C344" s="5"/>
      <c r="D344" s="5"/>
      <c r="E344" s="5"/>
      <c r="F344" s="148"/>
      <c r="G344" s="9"/>
      <c r="H344" s="74"/>
      <c r="I344" s="74"/>
      <c r="J344" s="74"/>
      <c r="K344" s="74"/>
      <c r="L344" s="74"/>
      <c r="M344" s="74"/>
      <c r="N344" s="74"/>
      <c r="O344" s="74"/>
      <c r="P344" s="74"/>
    </row>
    <row r="345" ht="15.75" customHeight="1">
      <c r="A345" s="5"/>
      <c r="B345" s="5"/>
      <c r="C345" s="5"/>
      <c r="D345" s="5"/>
      <c r="E345" s="5"/>
      <c r="F345" s="148"/>
      <c r="G345" s="9"/>
      <c r="H345" s="74"/>
      <c r="I345" s="74"/>
      <c r="J345" s="74"/>
      <c r="K345" s="74"/>
      <c r="L345" s="74"/>
      <c r="M345" s="74"/>
      <c r="N345" s="74"/>
      <c r="O345" s="74"/>
      <c r="P345" s="74"/>
    </row>
    <row r="346" ht="15.75" customHeight="1">
      <c r="A346" s="5"/>
      <c r="B346" s="5"/>
      <c r="C346" s="5"/>
      <c r="D346" s="5"/>
      <c r="E346" s="5"/>
      <c r="F346" s="148"/>
      <c r="G346" s="9"/>
      <c r="H346" s="74"/>
      <c r="I346" s="74"/>
      <c r="J346" s="74"/>
      <c r="K346" s="74"/>
      <c r="L346" s="74"/>
      <c r="M346" s="74"/>
      <c r="N346" s="74"/>
      <c r="O346" s="74"/>
      <c r="P346" s="74"/>
    </row>
    <row r="347" ht="15.75" customHeight="1">
      <c r="A347" s="5"/>
      <c r="B347" s="5"/>
      <c r="C347" s="5"/>
      <c r="D347" s="5"/>
      <c r="E347" s="5"/>
      <c r="F347" s="148"/>
      <c r="G347" s="9"/>
      <c r="H347" s="74"/>
      <c r="I347" s="74"/>
      <c r="J347" s="74"/>
      <c r="K347" s="74"/>
      <c r="L347" s="74"/>
      <c r="M347" s="74"/>
      <c r="N347" s="74"/>
      <c r="O347" s="74"/>
      <c r="P347" s="74"/>
    </row>
    <row r="348" ht="15.75" customHeight="1">
      <c r="A348" s="5"/>
      <c r="B348" s="5"/>
      <c r="C348" s="5"/>
      <c r="D348" s="5"/>
      <c r="E348" s="5"/>
      <c r="F348" s="148"/>
      <c r="G348" s="9"/>
      <c r="H348" s="74"/>
      <c r="I348" s="74"/>
      <c r="J348" s="74"/>
      <c r="K348" s="74"/>
      <c r="L348" s="74"/>
      <c r="M348" s="74"/>
      <c r="N348" s="74"/>
      <c r="O348" s="74"/>
      <c r="P348" s="74"/>
    </row>
    <row r="349" ht="15.75" customHeight="1">
      <c r="A349" s="5"/>
      <c r="B349" s="5"/>
      <c r="C349" s="5"/>
      <c r="D349" s="5"/>
      <c r="E349" s="5"/>
      <c r="F349" s="148"/>
      <c r="G349" s="9"/>
      <c r="H349" s="74"/>
      <c r="I349" s="74"/>
      <c r="J349" s="74"/>
      <c r="K349" s="74"/>
      <c r="L349" s="74"/>
      <c r="M349" s="74"/>
      <c r="N349" s="74"/>
      <c r="O349" s="74"/>
      <c r="P349" s="74"/>
    </row>
    <row r="350" ht="15.75" customHeight="1">
      <c r="A350" s="5"/>
      <c r="B350" s="5"/>
      <c r="C350" s="5"/>
      <c r="D350" s="5"/>
      <c r="E350" s="5"/>
      <c r="F350" s="148"/>
      <c r="G350" s="9"/>
      <c r="H350" s="74"/>
      <c r="I350" s="74"/>
      <c r="J350" s="74"/>
      <c r="K350" s="74"/>
      <c r="L350" s="74"/>
      <c r="M350" s="74"/>
      <c r="N350" s="74"/>
      <c r="O350" s="74"/>
      <c r="P350" s="74"/>
    </row>
    <row r="351" ht="15.75" customHeight="1">
      <c r="A351" s="5"/>
      <c r="B351" s="5"/>
      <c r="C351" s="5"/>
      <c r="D351" s="5"/>
      <c r="E351" s="5"/>
      <c r="F351" s="148"/>
      <c r="G351" s="9"/>
      <c r="H351" s="74"/>
      <c r="I351" s="74"/>
      <c r="J351" s="74"/>
      <c r="K351" s="74"/>
      <c r="L351" s="74"/>
      <c r="M351" s="74"/>
      <c r="N351" s="74"/>
      <c r="O351" s="74"/>
      <c r="P351" s="74"/>
    </row>
    <row r="352" ht="15.75" customHeight="1">
      <c r="A352" s="5"/>
      <c r="B352" s="5"/>
      <c r="C352" s="5"/>
      <c r="D352" s="5"/>
      <c r="E352" s="5"/>
      <c r="F352" s="148"/>
      <c r="G352" s="9"/>
      <c r="H352" s="74"/>
      <c r="I352" s="74"/>
      <c r="J352" s="74"/>
      <c r="K352" s="74"/>
      <c r="L352" s="74"/>
      <c r="M352" s="74"/>
      <c r="N352" s="74"/>
      <c r="O352" s="74"/>
      <c r="P352" s="74"/>
    </row>
    <row r="353" ht="15.75" customHeight="1">
      <c r="A353" s="5"/>
      <c r="B353" s="5"/>
      <c r="C353" s="5"/>
      <c r="D353" s="5"/>
      <c r="E353" s="5"/>
      <c r="F353" s="148"/>
      <c r="G353" s="9"/>
      <c r="H353" s="74"/>
      <c r="I353" s="74"/>
      <c r="J353" s="74"/>
      <c r="K353" s="74"/>
      <c r="L353" s="74"/>
      <c r="M353" s="74"/>
      <c r="N353" s="74"/>
      <c r="O353" s="74"/>
      <c r="P353" s="74"/>
    </row>
    <row r="354" ht="15.75" customHeight="1">
      <c r="A354" s="5"/>
      <c r="B354" s="5"/>
      <c r="C354" s="5"/>
      <c r="D354" s="5"/>
      <c r="E354" s="5"/>
      <c r="F354" s="148"/>
      <c r="G354" s="9"/>
      <c r="H354" s="74"/>
      <c r="I354" s="74"/>
      <c r="J354" s="74"/>
      <c r="K354" s="74"/>
      <c r="L354" s="74"/>
      <c r="M354" s="74"/>
      <c r="N354" s="74"/>
      <c r="O354" s="74"/>
      <c r="P354" s="74"/>
    </row>
    <row r="355" ht="15.75" customHeight="1">
      <c r="A355" s="5"/>
      <c r="B355" s="5"/>
      <c r="C355" s="5"/>
      <c r="D355" s="5"/>
      <c r="E355" s="5"/>
      <c r="F355" s="148"/>
      <c r="G355" s="9"/>
      <c r="H355" s="74"/>
      <c r="I355" s="74"/>
      <c r="J355" s="74"/>
      <c r="K355" s="74"/>
      <c r="L355" s="74"/>
      <c r="M355" s="74"/>
      <c r="N355" s="74"/>
      <c r="O355" s="74"/>
      <c r="P355" s="74"/>
    </row>
    <row r="356" ht="15.75" customHeight="1">
      <c r="A356" s="5"/>
      <c r="B356" s="5"/>
      <c r="C356" s="5"/>
      <c r="D356" s="5"/>
      <c r="E356" s="5"/>
      <c r="F356" s="148"/>
      <c r="G356" s="9"/>
      <c r="H356" s="74"/>
      <c r="I356" s="74"/>
      <c r="J356" s="74"/>
      <c r="K356" s="74"/>
      <c r="L356" s="74"/>
      <c r="M356" s="74"/>
      <c r="N356" s="74"/>
      <c r="O356" s="74"/>
      <c r="P356" s="74"/>
    </row>
    <row r="357" ht="15.75" customHeight="1">
      <c r="A357" s="5"/>
      <c r="B357" s="5"/>
      <c r="C357" s="5"/>
      <c r="D357" s="5"/>
      <c r="E357" s="5"/>
      <c r="F357" s="148"/>
      <c r="G357" s="9"/>
      <c r="H357" s="74"/>
      <c r="I357" s="74"/>
      <c r="J357" s="74"/>
      <c r="K357" s="74"/>
      <c r="L357" s="74"/>
      <c r="M357" s="74"/>
      <c r="N357" s="74"/>
      <c r="O357" s="74"/>
      <c r="P357" s="74"/>
    </row>
    <row r="358" ht="15.75" customHeight="1">
      <c r="A358" s="5"/>
      <c r="B358" s="5"/>
      <c r="C358" s="5"/>
      <c r="D358" s="5"/>
      <c r="E358" s="5"/>
      <c r="F358" s="148"/>
      <c r="G358" s="9"/>
      <c r="H358" s="74"/>
      <c r="I358" s="74"/>
      <c r="J358" s="74"/>
      <c r="K358" s="74"/>
      <c r="L358" s="74"/>
      <c r="M358" s="74"/>
      <c r="N358" s="74"/>
      <c r="O358" s="74"/>
      <c r="P358" s="74"/>
    </row>
    <row r="359" ht="15.75" customHeight="1">
      <c r="A359" s="5"/>
      <c r="B359" s="5"/>
      <c r="C359" s="5"/>
      <c r="D359" s="5"/>
      <c r="E359" s="5"/>
      <c r="F359" s="148"/>
      <c r="G359" s="9"/>
      <c r="H359" s="74"/>
      <c r="I359" s="74"/>
      <c r="J359" s="74"/>
      <c r="K359" s="74"/>
      <c r="L359" s="74"/>
      <c r="M359" s="74"/>
      <c r="N359" s="74"/>
      <c r="O359" s="74"/>
      <c r="P359" s="74"/>
    </row>
    <row r="360" ht="15.75" customHeight="1">
      <c r="A360" s="5"/>
      <c r="B360" s="5"/>
      <c r="C360" s="5"/>
      <c r="D360" s="5"/>
      <c r="E360" s="5"/>
      <c r="F360" s="148"/>
      <c r="G360" s="9"/>
      <c r="H360" s="74"/>
      <c r="I360" s="74"/>
      <c r="J360" s="74"/>
      <c r="K360" s="74"/>
      <c r="L360" s="74"/>
      <c r="M360" s="74"/>
      <c r="N360" s="74"/>
      <c r="O360" s="74"/>
      <c r="P360" s="74"/>
    </row>
    <row r="361" ht="15.75" customHeight="1">
      <c r="A361" s="5"/>
      <c r="B361" s="5"/>
      <c r="C361" s="5"/>
      <c r="D361" s="5"/>
      <c r="E361" s="5"/>
      <c r="F361" s="148"/>
      <c r="G361" s="9"/>
      <c r="H361" s="74"/>
      <c r="I361" s="74"/>
      <c r="J361" s="74"/>
      <c r="K361" s="74"/>
      <c r="L361" s="74"/>
      <c r="M361" s="74"/>
      <c r="N361" s="74"/>
      <c r="O361" s="74"/>
      <c r="P361" s="74"/>
    </row>
    <row r="362" ht="15.75" customHeight="1">
      <c r="A362" s="5"/>
      <c r="B362" s="5"/>
      <c r="C362" s="5"/>
      <c r="D362" s="5"/>
      <c r="E362" s="5"/>
      <c r="F362" s="148"/>
      <c r="G362" s="9"/>
      <c r="H362" s="74"/>
      <c r="I362" s="74"/>
      <c r="J362" s="74"/>
      <c r="K362" s="74"/>
      <c r="L362" s="74"/>
      <c r="M362" s="74"/>
      <c r="N362" s="74"/>
      <c r="O362" s="74"/>
      <c r="P362" s="74"/>
    </row>
    <row r="363" ht="15.75" customHeight="1">
      <c r="A363" s="5"/>
      <c r="B363" s="5"/>
      <c r="C363" s="5"/>
      <c r="D363" s="5"/>
      <c r="E363" s="5"/>
      <c r="F363" s="148"/>
      <c r="G363" s="9"/>
      <c r="H363" s="74"/>
      <c r="I363" s="74"/>
      <c r="J363" s="74"/>
      <c r="K363" s="74"/>
      <c r="L363" s="74"/>
      <c r="M363" s="74"/>
      <c r="N363" s="74"/>
      <c r="O363" s="74"/>
      <c r="P363" s="74"/>
    </row>
    <row r="364" ht="15.75" customHeight="1">
      <c r="A364" s="5"/>
      <c r="B364" s="5"/>
      <c r="C364" s="5"/>
      <c r="D364" s="5"/>
      <c r="E364" s="5"/>
      <c r="F364" s="148"/>
      <c r="G364" s="9"/>
      <c r="H364" s="74"/>
      <c r="I364" s="74"/>
      <c r="J364" s="74"/>
      <c r="K364" s="74"/>
      <c r="L364" s="74"/>
      <c r="M364" s="74"/>
      <c r="N364" s="74"/>
      <c r="O364" s="74"/>
      <c r="P364" s="74"/>
    </row>
    <row r="365" ht="15.75" customHeight="1">
      <c r="A365" s="5"/>
      <c r="B365" s="5"/>
      <c r="C365" s="5"/>
      <c r="D365" s="5"/>
      <c r="E365" s="5"/>
      <c r="F365" s="148"/>
      <c r="G365" s="9"/>
      <c r="H365" s="74"/>
      <c r="I365" s="74"/>
      <c r="J365" s="74"/>
      <c r="K365" s="74"/>
      <c r="L365" s="74"/>
      <c r="M365" s="74"/>
      <c r="N365" s="74"/>
      <c r="O365" s="74"/>
      <c r="P365" s="74"/>
    </row>
    <row r="366" ht="15.75" customHeight="1">
      <c r="A366" s="5"/>
      <c r="B366" s="5"/>
      <c r="C366" s="5"/>
      <c r="D366" s="5"/>
      <c r="E366" s="5"/>
      <c r="F366" s="148"/>
      <c r="G366" s="9"/>
      <c r="H366" s="74"/>
      <c r="I366" s="74"/>
      <c r="J366" s="74"/>
      <c r="K366" s="74"/>
      <c r="L366" s="74"/>
      <c r="M366" s="74"/>
      <c r="N366" s="74"/>
      <c r="O366" s="74"/>
      <c r="P366" s="74"/>
    </row>
    <row r="367" ht="15.75" customHeight="1">
      <c r="A367" s="5"/>
      <c r="B367" s="5"/>
      <c r="C367" s="5"/>
      <c r="D367" s="5"/>
      <c r="E367" s="5"/>
      <c r="F367" s="148"/>
      <c r="G367" s="9"/>
      <c r="H367" s="74"/>
      <c r="I367" s="74"/>
      <c r="J367" s="74"/>
      <c r="K367" s="74"/>
      <c r="L367" s="74"/>
      <c r="M367" s="74"/>
      <c r="N367" s="74"/>
      <c r="O367" s="74"/>
      <c r="P367" s="74"/>
    </row>
    <row r="368" ht="15.75" customHeight="1">
      <c r="A368" s="5"/>
      <c r="B368" s="5"/>
      <c r="C368" s="5"/>
      <c r="D368" s="5"/>
      <c r="E368" s="5"/>
      <c r="F368" s="148"/>
      <c r="G368" s="9"/>
      <c r="H368" s="74"/>
      <c r="I368" s="74"/>
      <c r="J368" s="74"/>
      <c r="K368" s="74"/>
      <c r="L368" s="74"/>
      <c r="M368" s="74"/>
      <c r="N368" s="74"/>
      <c r="O368" s="74"/>
      <c r="P368" s="74"/>
    </row>
    <row r="369" ht="15.75" customHeight="1">
      <c r="A369" s="5"/>
      <c r="B369" s="5"/>
      <c r="C369" s="5"/>
      <c r="D369" s="5"/>
      <c r="E369" s="5"/>
      <c r="F369" s="148"/>
      <c r="G369" s="9"/>
      <c r="H369" s="74"/>
      <c r="I369" s="74"/>
      <c r="J369" s="74"/>
      <c r="K369" s="74"/>
      <c r="L369" s="74"/>
      <c r="M369" s="74"/>
      <c r="N369" s="74"/>
      <c r="O369" s="74"/>
      <c r="P369" s="74"/>
    </row>
    <row r="370" ht="15.75" customHeight="1">
      <c r="A370" s="5"/>
      <c r="B370" s="5"/>
      <c r="C370" s="5"/>
      <c r="D370" s="5"/>
      <c r="E370" s="5"/>
      <c r="F370" s="148"/>
      <c r="G370" s="9"/>
      <c r="H370" s="74"/>
      <c r="I370" s="74"/>
      <c r="J370" s="74"/>
      <c r="K370" s="74"/>
      <c r="L370" s="74"/>
      <c r="M370" s="74"/>
      <c r="N370" s="74"/>
      <c r="O370" s="74"/>
      <c r="P370" s="74"/>
    </row>
    <row r="371" ht="15.75" customHeight="1">
      <c r="A371" s="5"/>
      <c r="B371" s="5"/>
      <c r="C371" s="5"/>
      <c r="D371" s="5"/>
      <c r="E371" s="5"/>
      <c r="F371" s="148"/>
      <c r="G371" s="9"/>
      <c r="H371" s="74"/>
      <c r="I371" s="74"/>
      <c r="J371" s="74"/>
      <c r="K371" s="74"/>
      <c r="L371" s="74"/>
      <c r="M371" s="74"/>
      <c r="N371" s="74"/>
      <c r="O371" s="74"/>
      <c r="P371" s="74"/>
    </row>
    <row r="372" ht="15.75" customHeight="1">
      <c r="A372" s="5"/>
      <c r="B372" s="5"/>
      <c r="C372" s="5"/>
      <c r="D372" s="5"/>
      <c r="E372" s="5"/>
      <c r="F372" s="148"/>
      <c r="G372" s="9"/>
      <c r="H372" s="74"/>
      <c r="I372" s="74"/>
      <c r="J372" s="74"/>
      <c r="K372" s="74"/>
      <c r="L372" s="74"/>
      <c r="M372" s="74"/>
      <c r="N372" s="74"/>
      <c r="O372" s="74"/>
      <c r="P372" s="74"/>
    </row>
    <row r="373" ht="15.75" customHeight="1">
      <c r="A373" s="5"/>
      <c r="B373" s="5"/>
      <c r="C373" s="5"/>
      <c r="D373" s="5"/>
      <c r="E373" s="5"/>
      <c r="F373" s="148"/>
      <c r="G373" s="9"/>
      <c r="H373" s="74"/>
      <c r="I373" s="74"/>
      <c r="J373" s="74"/>
      <c r="K373" s="74"/>
      <c r="L373" s="74"/>
      <c r="M373" s="74"/>
      <c r="N373" s="74"/>
      <c r="O373" s="74"/>
      <c r="P373" s="74"/>
    </row>
    <row r="374" ht="15.75" customHeight="1">
      <c r="A374" s="5"/>
      <c r="B374" s="5"/>
      <c r="C374" s="5"/>
      <c r="D374" s="5"/>
      <c r="E374" s="5"/>
      <c r="F374" s="148"/>
      <c r="G374" s="9"/>
      <c r="H374" s="74"/>
      <c r="I374" s="74"/>
      <c r="J374" s="74"/>
      <c r="K374" s="74"/>
      <c r="L374" s="74"/>
      <c r="M374" s="74"/>
      <c r="N374" s="74"/>
      <c r="O374" s="74"/>
      <c r="P374" s="74"/>
    </row>
    <row r="375" ht="15.75" customHeight="1">
      <c r="A375" s="5"/>
      <c r="B375" s="5"/>
      <c r="C375" s="5"/>
      <c r="D375" s="5"/>
      <c r="E375" s="5"/>
      <c r="F375" s="148"/>
      <c r="G375" s="9"/>
      <c r="H375" s="74"/>
      <c r="I375" s="74"/>
      <c r="J375" s="74"/>
      <c r="K375" s="74"/>
      <c r="L375" s="74"/>
      <c r="M375" s="74"/>
      <c r="N375" s="74"/>
      <c r="O375" s="74"/>
      <c r="P375" s="74"/>
    </row>
    <row r="376" ht="15.75" customHeight="1">
      <c r="A376" s="5"/>
      <c r="B376" s="5"/>
      <c r="C376" s="5"/>
      <c r="D376" s="5"/>
      <c r="E376" s="5"/>
      <c r="F376" s="148"/>
      <c r="G376" s="9"/>
      <c r="H376" s="74"/>
      <c r="I376" s="74"/>
      <c r="J376" s="74"/>
      <c r="K376" s="74"/>
      <c r="L376" s="74"/>
      <c r="M376" s="74"/>
      <c r="N376" s="74"/>
      <c r="O376" s="74"/>
      <c r="P376" s="74"/>
    </row>
    <row r="377" ht="15.75" customHeight="1">
      <c r="A377" s="5"/>
      <c r="B377" s="5"/>
      <c r="C377" s="5"/>
      <c r="D377" s="5"/>
      <c r="E377" s="5"/>
      <c r="F377" s="148"/>
      <c r="G377" s="9"/>
      <c r="H377" s="74"/>
      <c r="I377" s="74"/>
      <c r="J377" s="74"/>
      <c r="K377" s="74"/>
      <c r="L377" s="74"/>
      <c r="M377" s="74"/>
      <c r="N377" s="74"/>
      <c r="O377" s="74"/>
      <c r="P377" s="74"/>
    </row>
    <row r="378" ht="15.75" customHeight="1">
      <c r="A378" s="5"/>
      <c r="B378" s="5"/>
      <c r="C378" s="5"/>
      <c r="D378" s="5"/>
      <c r="E378" s="5"/>
      <c r="F378" s="148"/>
      <c r="G378" s="9"/>
      <c r="H378" s="74"/>
      <c r="I378" s="74"/>
      <c r="J378" s="74"/>
      <c r="K378" s="74"/>
      <c r="L378" s="74"/>
      <c r="M378" s="74"/>
      <c r="N378" s="74"/>
      <c r="O378" s="74"/>
      <c r="P378" s="74"/>
    </row>
    <row r="379" ht="15.75" customHeight="1">
      <c r="A379" s="5"/>
      <c r="B379" s="5"/>
      <c r="C379" s="5"/>
      <c r="D379" s="5"/>
      <c r="E379" s="5"/>
      <c r="F379" s="148"/>
      <c r="G379" s="9"/>
      <c r="H379" s="74"/>
      <c r="I379" s="74"/>
      <c r="J379" s="74"/>
      <c r="K379" s="74"/>
      <c r="L379" s="74"/>
      <c r="M379" s="74"/>
      <c r="N379" s="74"/>
      <c r="O379" s="74"/>
      <c r="P379" s="74"/>
    </row>
    <row r="380" ht="15.75" customHeight="1">
      <c r="A380" s="5"/>
      <c r="B380" s="5"/>
      <c r="C380" s="5"/>
      <c r="D380" s="5"/>
      <c r="E380" s="5"/>
      <c r="F380" s="148"/>
      <c r="G380" s="9"/>
      <c r="H380" s="74"/>
      <c r="I380" s="74"/>
      <c r="J380" s="74"/>
      <c r="K380" s="74"/>
      <c r="L380" s="74"/>
      <c r="M380" s="74"/>
      <c r="N380" s="74"/>
      <c r="O380" s="74"/>
      <c r="P380" s="74"/>
    </row>
    <row r="381" ht="15.75" customHeight="1">
      <c r="A381" s="5"/>
      <c r="B381" s="5"/>
      <c r="C381" s="5"/>
      <c r="D381" s="5"/>
      <c r="E381" s="5"/>
      <c r="F381" s="148"/>
      <c r="G381" s="9"/>
      <c r="H381" s="74"/>
      <c r="I381" s="74"/>
      <c r="J381" s="74"/>
      <c r="K381" s="74"/>
      <c r="L381" s="74"/>
      <c r="M381" s="74"/>
      <c r="N381" s="74"/>
      <c r="O381" s="74"/>
      <c r="P381" s="74"/>
    </row>
    <row r="382" ht="15.75" customHeight="1">
      <c r="A382" s="5"/>
      <c r="B382" s="5"/>
      <c r="C382" s="5"/>
      <c r="D382" s="5"/>
      <c r="E382" s="5"/>
      <c r="F382" s="148"/>
      <c r="G382" s="9"/>
      <c r="H382" s="74"/>
      <c r="I382" s="74"/>
      <c r="J382" s="74"/>
      <c r="K382" s="74"/>
      <c r="L382" s="74"/>
      <c r="M382" s="74"/>
      <c r="N382" s="74"/>
      <c r="O382" s="74"/>
      <c r="P382" s="74"/>
    </row>
    <row r="383" ht="15.75" customHeight="1">
      <c r="A383" s="5"/>
      <c r="B383" s="5"/>
      <c r="C383" s="5"/>
      <c r="D383" s="5"/>
      <c r="E383" s="5"/>
      <c r="F383" s="148"/>
      <c r="G383" s="9"/>
      <c r="H383" s="74"/>
      <c r="I383" s="74"/>
      <c r="J383" s="74"/>
      <c r="K383" s="74"/>
      <c r="L383" s="74"/>
      <c r="M383" s="74"/>
      <c r="N383" s="74"/>
      <c r="O383" s="74"/>
      <c r="P383" s="74"/>
    </row>
    <row r="384" ht="15.75" customHeight="1">
      <c r="A384" s="5"/>
      <c r="B384" s="5"/>
      <c r="C384" s="5"/>
      <c r="D384" s="5"/>
      <c r="E384" s="5"/>
      <c r="F384" s="148"/>
      <c r="G384" s="9"/>
      <c r="H384" s="74"/>
      <c r="I384" s="74"/>
      <c r="J384" s="74"/>
      <c r="K384" s="74"/>
      <c r="L384" s="74"/>
      <c r="M384" s="74"/>
      <c r="N384" s="74"/>
      <c r="O384" s="74"/>
      <c r="P384" s="74"/>
    </row>
    <row r="385" ht="15.75" customHeight="1">
      <c r="A385" s="5"/>
      <c r="B385" s="5"/>
      <c r="C385" s="5"/>
      <c r="D385" s="5"/>
      <c r="E385" s="5"/>
      <c r="F385" s="148"/>
      <c r="G385" s="9"/>
      <c r="H385" s="74"/>
      <c r="I385" s="74"/>
      <c r="J385" s="74"/>
      <c r="K385" s="74"/>
      <c r="L385" s="74"/>
      <c r="M385" s="74"/>
      <c r="N385" s="74"/>
      <c r="O385" s="74"/>
      <c r="P385" s="74"/>
    </row>
    <row r="386" ht="15.75" customHeight="1">
      <c r="A386" s="5"/>
      <c r="B386" s="5"/>
      <c r="C386" s="5"/>
      <c r="D386" s="5"/>
      <c r="E386" s="5"/>
      <c r="F386" s="148"/>
      <c r="G386" s="9"/>
      <c r="H386" s="74"/>
      <c r="I386" s="74"/>
      <c r="J386" s="74"/>
      <c r="K386" s="74"/>
      <c r="L386" s="74"/>
      <c r="M386" s="74"/>
      <c r="N386" s="74"/>
      <c r="O386" s="74"/>
      <c r="P386" s="74"/>
    </row>
    <row r="387" ht="15.75" customHeight="1">
      <c r="A387" s="5"/>
      <c r="B387" s="5"/>
      <c r="C387" s="5"/>
      <c r="D387" s="5"/>
      <c r="E387" s="5"/>
      <c r="F387" s="148"/>
      <c r="G387" s="9"/>
      <c r="H387" s="74"/>
      <c r="I387" s="74"/>
      <c r="J387" s="74"/>
      <c r="K387" s="74"/>
      <c r="L387" s="74"/>
      <c r="M387" s="74"/>
      <c r="N387" s="74"/>
      <c r="O387" s="74"/>
      <c r="P387" s="74"/>
    </row>
    <row r="388" ht="15.75" customHeight="1">
      <c r="A388" s="5"/>
      <c r="B388" s="5"/>
      <c r="C388" s="5"/>
      <c r="D388" s="5"/>
      <c r="E388" s="5"/>
      <c r="F388" s="148"/>
      <c r="G388" s="9"/>
      <c r="H388" s="74"/>
      <c r="I388" s="74"/>
      <c r="J388" s="74"/>
      <c r="K388" s="74"/>
      <c r="L388" s="74"/>
      <c r="M388" s="74"/>
      <c r="N388" s="74"/>
      <c r="O388" s="74"/>
      <c r="P388" s="74"/>
    </row>
    <row r="389" ht="15.75" customHeight="1">
      <c r="A389" s="5"/>
      <c r="B389" s="5"/>
      <c r="C389" s="5"/>
      <c r="D389" s="5"/>
      <c r="E389" s="5"/>
      <c r="F389" s="148"/>
      <c r="G389" s="9"/>
      <c r="H389" s="74"/>
      <c r="I389" s="74"/>
      <c r="J389" s="74"/>
      <c r="K389" s="74"/>
      <c r="L389" s="74"/>
      <c r="M389" s="74"/>
      <c r="N389" s="74"/>
      <c r="O389" s="74"/>
      <c r="P389" s="74"/>
    </row>
    <row r="390" ht="15.75" customHeight="1">
      <c r="A390" s="5"/>
      <c r="B390" s="5"/>
      <c r="C390" s="5"/>
      <c r="D390" s="5"/>
      <c r="E390" s="5"/>
      <c r="F390" s="148"/>
      <c r="G390" s="9"/>
      <c r="H390" s="74"/>
      <c r="I390" s="74"/>
      <c r="J390" s="74"/>
      <c r="K390" s="74"/>
      <c r="L390" s="74"/>
      <c r="M390" s="74"/>
      <c r="N390" s="74"/>
      <c r="O390" s="74"/>
      <c r="P390" s="74"/>
    </row>
    <row r="391" ht="15.75" customHeight="1">
      <c r="A391" s="5"/>
      <c r="B391" s="5"/>
      <c r="C391" s="5"/>
      <c r="D391" s="5"/>
      <c r="E391" s="5"/>
      <c r="F391" s="148"/>
      <c r="G391" s="9"/>
      <c r="H391" s="74"/>
      <c r="I391" s="74"/>
      <c r="J391" s="74"/>
      <c r="K391" s="74"/>
      <c r="L391" s="74"/>
      <c r="M391" s="74"/>
      <c r="N391" s="74"/>
      <c r="O391" s="74"/>
      <c r="P391" s="74"/>
    </row>
    <row r="392" ht="15.75" customHeight="1">
      <c r="A392" s="5"/>
      <c r="B392" s="5"/>
      <c r="C392" s="5"/>
      <c r="D392" s="5"/>
      <c r="E392" s="5"/>
      <c r="F392" s="148"/>
      <c r="G392" s="9"/>
      <c r="H392" s="74"/>
      <c r="I392" s="74"/>
      <c r="J392" s="74"/>
      <c r="K392" s="74"/>
      <c r="L392" s="74"/>
      <c r="M392" s="74"/>
      <c r="N392" s="74"/>
      <c r="O392" s="74"/>
      <c r="P392" s="74"/>
    </row>
    <row r="393" ht="15.75" customHeight="1">
      <c r="A393" s="5"/>
      <c r="B393" s="5"/>
      <c r="C393" s="5"/>
      <c r="D393" s="5"/>
      <c r="E393" s="5"/>
      <c r="F393" s="148"/>
      <c r="G393" s="9"/>
      <c r="H393" s="74"/>
      <c r="I393" s="74"/>
      <c r="J393" s="74"/>
      <c r="K393" s="74"/>
      <c r="L393" s="74"/>
      <c r="M393" s="74"/>
      <c r="N393" s="74"/>
      <c r="O393" s="74"/>
      <c r="P393" s="74"/>
    </row>
    <row r="394" ht="15.75" customHeight="1">
      <c r="A394" s="5"/>
      <c r="B394" s="5"/>
      <c r="C394" s="5"/>
      <c r="D394" s="5"/>
      <c r="E394" s="5"/>
      <c r="F394" s="148"/>
      <c r="G394" s="9"/>
      <c r="H394" s="74"/>
      <c r="I394" s="74"/>
      <c r="J394" s="74"/>
      <c r="K394" s="74"/>
      <c r="L394" s="74"/>
      <c r="M394" s="74"/>
      <c r="N394" s="74"/>
      <c r="O394" s="74"/>
      <c r="P394" s="74"/>
    </row>
    <row r="395" ht="15.75" customHeight="1">
      <c r="A395" s="5"/>
      <c r="B395" s="5"/>
      <c r="C395" s="5"/>
      <c r="D395" s="5"/>
      <c r="E395" s="5"/>
      <c r="F395" s="148"/>
      <c r="G395" s="9"/>
      <c r="H395" s="74"/>
      <c r="I395" s="74"/>
      <c r="J395" s="74"/>
      <c r="K395" s="74"/>
      <c r="L395" s="74"/>
      <c r="M395" s="74"/>
      <c r="N395" s="74"/>
      <c r="O395" s="74"/>
      <c r="P395" s="74"/>
    </row>
    <row r="396" ht="15.75" customHeight="1">
      <c r="A396" s="5"/>
      <c r="B396" s="5"/>
      <c r="C396" s="5"/>
      <c r="D396" s="5"/>
      <c r="E396" s="5"/>
      <c r="F396" s="148"/>
      <c r="G396" s="9"/>
      <c r="H396" s="74"/>
      <c r="I396" s="74"/>
      <c r="J396" s="74"/>
      <c r="K396" s="74"/>
      <c r="L396" s="74"/>
      <c r="M396" s="74"/>
      <c r="N396" s="74"/>
      <c r="O396" s="74"/>
      <c r="P396" s="74"/>
    </row>
    <row r="397" ht="15.75" customHeight="1">
      <c r="A397" s="5"/>
      <c r="B397" s="5"/>
      <c r="C397" s="5"/>
      <c r="D397" s="5"/>
      <c r="E397" s="5"/>
      <c r="F397" s="148"/>
      <c r="G397" s="9"/>
      <c r="H397" s="74"/>
      <c r="I397" s="74"/>
      <c r="J397" s="74"/>
      <c r="K397" s="74"/>
      <c r="L397" s="74"/>
      <c r="M397" s="74"/>
      <c r="N397" s="74"/>
      <c r="O397" s="74"/>
      <c r="P397" s="74"/>
    </row>
    <row r="398" ht="15.75" customHeight="1">
      <c r="A398" s="5"/>
      <c r="B398" s="5"/>
      <c r="C398" s="5"/>
      <c r="D398" s="5"/>
      <c r="E398" s="5"/>
      <c r="F398" s="148"/>
      <c r="G398" s="9"/>
      <c r="H398" s="74"/>
      <c r="I398" s="74"/>
      <c r="J398" s="74"/>
      <c r="K398" s="74"/>
      <c r="L398" s="74"/>
      <c r="M398" s="74"/>
      <c r="N398" s="74"/>
      <c r="O398" s="74"/>
      <c r="P398" s="74"/>
    </row>
    <row r="399" ht="15.75" customHeight="1">
      <c r="A399" s="5"/>
      <c r="B399" s="5"/>
      <c r="C399" s="5"/>
      <c r="D399" s="5"/>
      <c r="E399" s="5"/>
      <c r="F399" s="148"/>
      <c r="G399" s="9"/>
      <c r="H399" s="74"/>
      <c r="I399" s="74"/>
      <c r="J399" s="74"/>
      <c r="K399" s="74"/>
      <c r="L399" s="74"/>
      <c r="M399" s="74"/>
      <c r="N399" s="74"/>
      <c r="O399" s="74"/>
      <c r="P399" s="74"/>
    </row>
    <row r="400" ht="15.75" customHeight="1">
      <c r="A400" s="5"/>
      <c r="B400" s="5"/>
      <c r="C400" s="5"/>
      <c r="D400" s="5"/>
      <c r="E400" s="5"/>
      <c r="F400" s="148"/>
      <c r="G400" s="9"/>
      <c r="H400" s="74"/>
      <c r="I400" s="74"/>
      <c r="J400" s="74"/>
      <c r="K400" s="74"/>
      <c r="L400" s="74"/>
      <c r="M400" s="74"/>
      <c r="N400" s="74"/>
      <c r="O400" s="74"/>
      <c r="P400" s="74"/>
    </row>
    <row r="401" ht="15.75" customHeight="1">
      <c r="A401" s="5"/>
      <c r="B401" s="5"/>
      <c r="C401" s="5"/>
      <c r="D401" s="5"/>
      <c r="E401" s="5"/>
      <c r="F401" s="148"/>
      <c r="G401" s="9"/>
      <c r="H401" s="74"/>
      <c r="I401" s="74"/>
      <c r="J401" s="74"/>
      <c r="K401" s="74"/>
      <c r="L401" s="74"/>
      <c r="M401" s="74"/>
      <c r="N401" s="74"/>
      <c r="O401" s="74"/>
      <c r="P401" s="74"/>
    </row>
    <row r="402" ht="15.75" customHeight="1">
      <c r="A402" s="5"/>
      <c r="B402" s="5"/>
      <c r="C402" s="5"/>
      <c r="D402" s="5"/>
      <c r="E402" s="5"/>
      <c r="F402" s="148"/>
      <c r="G402" s="9"/>
      <c r="H402" s="74"/>
      <c r="I402" s="74"/>
      <c r="J402" s="74"/>
      <c r="K402" s="74"/>
      <c r="L402" s="74"/>
      <c r="M402" s="74"/>
      <c r="N402" s="74"/>
      <c r="O402" s="74"/>
      <c r="P402" s="74"/>
    </row>
    <row r="403" ht="15.75" customHeight="1">
      <c r="A403" s="5"/>
      <c r="B403" s="5"/>
      <c r="C403" s="5"/>
      <c r="D403" s="5"/>
      <c r="E403" s="5"/>
      <c r="F403" s="148"/>
      <c r="G403" s="9"/>
      <c r="H403" s="74"/>
      <c r="I403" s="74"/>
      <c r="J403" s="74"/>
      <c r="K403" s="74"/>
      <c r="L403" s="74"/>
      <c r="M403" s="74"/>
      <c r="N403" s="74"/>
      <c r="O403" s="74"/>
      <c r="P403" s="74"/>
    </row>
    <row r="404" ht="15.75" customHeight="1">
      <c r="A404" s="5"/>
      <c r="B404" s="5"/>
      <c r="C404" s="5"/>
      <c r="D404" s="5"/>
      <c r="E404" s="5"/>
      <c r="F404" s="148"/>
      <c r="G404" s="9"/>
      <c r="H404" s="74"/>
      <c r="I404" s="74"/>
      <c r="J404" s="74"/>
      <c r="K404" s="74"/>
      <c r="L404" s="74"/>
      <c r="M404" s="74"/>
      <c r="N404" s="74"/>
      <c r="O404" s="74"/>
      <c r="P404" s="74"/>
    </row>
    <row r="405" ht="15.75" customHeight="1">
      <c r="A405" s="5"/>
      <c r="B405" s="5"/>
      <c r="C405" s="5"/>
      <c r="D405" s="5"/>
      <c r="E405" s="5"/>
      <c r="F405" s="148"/>
      <c r="G405" s="9"/>
      <c r="H405" s="74"/>
      <c r="I405" s="74"/>
      <c r="J405" s="74"/>
      <c r="K405" s="74"/>
      <c r="L405" s="74"/>
      <c r="M405" s="74"/>
      <c r="N405" s="74"/>
      <c r="O405" s="74"/>
      <c r="P405" s="74"/>
    </row>
    <row r="406" ht="15.75" customHeight="1">
      <c r="A406" s="5"/>
      <c r="B406" s="5"/>
      <c r="C406" s="5"/>
      <c r="D406" s="5"/>
      <c r="E406" s="5"/>
      <c r="F406" s="148"/>
      <c r="G406" s="9"/>
      <c r="H406" s="74"/>
      <c r="I406" s="74"/>
      <c r="J406" s="74"/>
      <c r="K406" s="74"/>
      <c r="L406" s="74"/>
      <c r="M406" s="74"/>
      <c r="N406" s="74"/>
      <c r="O406" s="74"/>
      <c r="P406" s="74"/>
    </row>
    <row r="407" ht="15.75" customHeight="1">
      <c r="A407" s="5"/>
      <c r="B407" s="5"/>
      <c r="C407" s="5"/>
      <c r="D407" s="5"/>
      <c r="E407" s="5"/>
      <c r="F407" s="148"/>
      <c r="G407" s="9"/>
      <c r="H407" s="74"/>
      <c r="I407" s="74"/>
      <c r="J407" s="74"/>
      <c r="K407" s="74"/>
      <c r="L407" s="74"/>
      <c r="M407" s="74"/>
      <c r="N407" s="74"/>
      <c r="O407" s="74"/>
      <c r="P407" s="74"/>
    </row>
    <row r="408" ht="15.75" customHeight="1">
      <c r="A408" s="5"/>
      <c r="B408" s="5"/>
      <c r="C408" s="5"/>
      <c r="D408" s="5"/>
      <c r="E408" s="5"/>
      <c r="F408" s="148"/>
      <c r="G408" s="9"/>
      <c r="H408" s="74"/>
      <c r="I408" s="74"/>
      <c r="J408" s="74"/>
      <c r="K408" s="74"/>
      <c r="L408" s="74"/>
      <c r="M408" s="74"/>
      <c r="N408" s="74"/>
      <c r="O408" s="74"/>
      <c r="P408" s="74"/>
    </row>
    <row r="409" ht="15.75" customHeight="1">
      <c r="A409" s="5"/>
      <c r="B409" s="5"/>
      <c r="C409" s="5"/>
      <c r="D409" s="5"/>
      <c r="E409" s="5"/>
      <c r="F409" s="148"/>
      <c r="G409" s="9"/>
      <c r="H409" s="74"/>
      <c r="I409" s="74"/>
      <c r="J409" s="74"/>
      <c r="K409" s="74"/>
      <c r="L409" s="74"/>
      <c r="M409" s="74"/>
      <c r="N409" s="74"/>
      <c r="O409" s="74"/>
      <c r="P409" s="74"/>
    </row>
    <row r="410" ht="15.75" customHeight="1">
      <c r="A410" s="5"/>
      <c r="B410" s="5"/>
      <c r="C410" s="5"/>
      <c r="D410" s="5"/>
      <c r="E410" s="5"/>
      <c r="F410" s="148"/>
      <c r="G410" s="9"/>
      <c r="H410" s="74"/>
      <c r="I410" s="74"/>
      <c r="J410" s="74"/>
      <c r="K410" s="74"/>
      <c r="L410" s="74"/>
      <c r="M410" s="74"/>
      <c r="N410" s="74"/>
      <c r="O410" s="74"/>
      <c r="P410" s="74"/>
    </row>
    <row r="411" ht="15.75" customHeight="1">
      <c r="A411" s="5"/>
      <c r="B411" s="5"/>
      <c r="C411" s="5"/>
      <c r="D411" s="5"/>
      <c r="E411" s="5"/>
      <c r="F411" s="148"/>
      <c r="G411" s="9"/>
      <c r="H411" s="74"/>
      <c r="I411" s="74"/>
      <c r="J411" s="74"/>
      <c r="K411" s="74"/>
      <c r="L411" s="74"/>
      <c r="M411" s="74"/>
      <c r="N411" s="74"/>
      <c r="O411" s="74"/>
      <c r="P411" s="74"/>
    </row>
    <row r="412" ht="15.75" customHeight="1">
      <c r="A412" s="5"/>
      <c r="B412" s="5"/>
      <c r="C412" s="5"/>
      <c r="D412" s="5"/>
      <c r="E412" s="5"/>
      <c r="F412" s="148"/>
      <c r="G412" s="9"/>
      <c r="H412" s="74"/>
      <c r="I412" s="74"/>
      <c r="J412" s="74"/>
      <c r="K412" s="74"/>
      <c r="L412" s="74"/>
      <c r="M412" s="74"/>
      <c r="N412" s="74"/>
      <c r="O412" s="74"/>
      <c r="P412" s="74"/>
    </row>
    <row r="413" ht="15.75" customHeight="1">
      <c r="A413" s="5"/>
      <c r="B413" s="5"/>
      <c r="C413" s="5"/>
      <c r="D413" s="5"/>
      <c r="E413" s="5"/>
      <c r="F413" s="148"/>
      <c r="G413" s="9"/>
      <c r="H413" s="74"/>
      <c r="I413" s="74"/>
      <c r="J413" s="74"/>
      <c r="K413" s="74"/>
      <c r="L413" s="74"/>
      <c r="M413" s="74"/>
      <c r="N413" s="74"/>
      <c r="O413" s="74"/>
      <c r="P413" s="74"/>
    </row>
    <row r="414" ht="15.75" customHeight="1">
      <c r="A414" s="5"/>
      <c r="B414" s="5"/>
      <c r="C414" s="5"/>
      <c r="D414" s="5"/>
      <c r="E414" s="5"/>
      <c r="F414" s="148"/>
      <c r="G414" s="9"/>
      <c r="H414" s="74"/>
      <c r="I414" s="74"/>
      <c r="J414" s="74"/>
      <c r="K414" s="74"/>
      <c r="L414" s="74"/>
      <c r="M414" s="74"/>
      <c r="N414" s="74"/>
      <c r="O414" s="74"/>
      <c r="P414" s="74"/>
    </row>
    <row r="415" ht="15.75" customHeight="1">
      <c r="A415" s="5"/>
      <c r="B415" s="5"/>
      <c r="C415" s="5"/>
      <c r="D415" s="5"/>
      <c r="E415" s="5"/>
      <c r="F415" s="148"/>
      <c r="G415" s="9"/>
      <c r="H415" s="74"/>
      <c r="I415" s="74"/>
      <c r="J415" s="74"/>
      <c r="K415" s="74"/>
      <c r="L415" s="74"/>
      <c r="M415" s="74"/>
      <c r="N415" s="74"/>
      <c r="O415" s="74"/>
      <c r="P415" s="74"/>
    </row>
    <row r="416" ht="15.75" customHeight="1">
      <c r="A416" s="5"/>
      <c r="B416" s="5"/>
      <c r="C416" s="5"/>
      <c r="D416" s="5"/>
      <c r="E416" s="5"/>
      <c r="F416" s="148"/>
      <c r="G416" s="9"/>
      <c r="H416" s="74"/>
      <c r="I416" s="74"/>
      <c r="J416" s="74"/>
      <c r="K416" s="74"/>
      <c r="L416" s="74"/>
      <c r="M416" s="74"/>
      <c r="N416" s="74"/>
      <c r="O416" s="74"/>
      <c r="P416" s="74"/>
    </row>
    <row r="417" ht="15.75" customHeight="1">
      <c r="A417" s="5"/>
      <c r="B417" s="5"/>
      <c r="C417" s="5"/>
      <c r="D417" s="5"/>
      <c r="E417" s="5"/>
      <c r="F417" s="148"/>
      <c r="G417" s="9"/>
      <c r="H417" s="74"/>
      <c r="I417" s="74"/>
      <c r="J417" s="74"/>
      <c r="K417" s="74"/>
      <c r="L417" s="74"/>
      <c r="M417" s="74"/>
      <c r="N417" s="74"/>
      <c r="O417" s="74"/>
      <c r="P417" s="74"/>
    </row>
    <row r="418" ht="15.75" customHeight="1">
      <c r="A418" s="5"/>
      <c r="B418" s="5"/>
      <c r="C418" s="5"/>
      <c r="D418" s="5"/>
      <c r="E418" s="5"/>
      <c r="F418" s="148"/>
      <c r="G418" s="9"/>
      <c r="H418" s="74"/>
      <c r="I418" s="74"/>
      <c r="J418" s="74"/>
      <c r="K418" s="74"/>
      <c r="L418" s="74"/>
      <c r="M418" s="74"/>
      <c r="N418" s="74"/>
      <c r="O418" s="74"/>
      <c r="P418" s="74"/>
    </row>
    <row r="419" ht="15.75" customHeight="1">
      <c r="A419" s="5"/>
      <c r="B419" s="5"/>
      <c r="C419" s="5"/>
      <c r="D419" s="5"/>
      <c r="E419" s="5"/>
      <c r="F419" s="148"/>
      <c r="G419" s="9"/>
      <c r="H419" s="74"/>
      <c r="I419" s="74"/>
      <c r="J419" s="74"/>
      <c r="K419" s="74"/>
      <c r="L419" s="74"/>
      <c r="M419" s="74"/>
      <c r="N419" s="74"/>
      <c r="O419" s="74"/>
      <c r="P419" s="74"/>
    </row>
    <row r="420" ht="15.75" customHeight="1">
      <c r="A420" s="5"/>
      <c r="B420" s="5"/>
      <c r="C420" s="5"/>
      <c r="D420" s="5"/>
      <c r="E420" s="5"/>
      <c r="F420" s="148"/>
      <c r="G420" s="9"/>
      <c r="H420" s="74"/>
      <c r="I420" s="74"/>
      <c r="J420" s="74"/>
      <c r="K420" s="74"/>
      <c r="L420" s="74"/>
      <c r="M420" s="74"/>
      <c r="N420" s="74"/>
      <c r="O420" s="74"/>
      <c r="P420" s="74"/>
    </row>
    <row r="421" ht="15.75" customHeight="1">
      <c r="A421" s="5"/>
      <c r="B421" s="5"/>
      <c r="C421" s="5"/>
      <c r="D421" s="5"/>
      <c r="E421" s="5"/>
      <c r="F421" s="148"/>
      <c r="G421" s="9"/>
      <c r="H421" s="74"/>
      <c r="I421" s="74"/>
      <c r="J421" s="74"/>
      <c r="K421" s="74"/>
      <c r="L421" s="74"/>
      <c r="M421" s="74"/>
      <c r="N421" s="74"/>
      <c r="O421" s="74"/>
      <c r="P421" s="74"/>
    </row>
    <row r="422" ht="15.75" customHeight="1">
      <c r="A422" s="5"/>
      <c r="B422" s="5"/>
      <c r="C422" s="5"/>
      <c r="D422" s="5"/>
      <c r="E422" s="5"/>
      <c r="F422" s="148"/>
      <c r="G422" s="9"/>
      <c r="H422" s="74"/>
      <c r="I422" s="74"/>
      <c r="J422" s="74"/>
      <c r="K422" s="74"/>
      <c r="L422" s="74"/>
      <c r="M422" s="74"/>
      <c r="N422" s="74"/>
      <c r="O422" s="74"/>
      <c r="P422" s="74"/>
    </row>
    <row r="423" ht="15.75" customHeight="1">
      <c r="A423" s="5"/>
      <c r="B423" s="5"/>
      <c r="C423" s="5"/>
      <c r="D423" s="5"/>
      <c r="E423" s="5"/>
      <c r="F423" s="148"/>
      <c r="G423" s="9"/>
      <c r="H423" s="74"/>
      <c r="I423" s="74"/>
      <c r="J423" s="74"/>
      <c r="K423" s="74"/>
      <c r="L423" s="74"/>
      <c r="M423" s="74"/>
      <c r="N423" s="74"/>
      <c r="O423" s="74"/>
      <c r="P423" s="74"/>
    </row>
    <row r="424" ht="15.75" customHeight="1">
      <c r="A424" s="5"/>
      <c r="B424" s="5"/>
      <c r="C424" s="5"/>
      <c r="D424" s="5"/>
      <c r="E424" s="5"/>
      <c r="F424" s="148"/>
      <c r="G424" s="9"/>
      <c r="H424" s="74"/>
      <c r="I424" s="74"/>
      <c r="J424" s="74"/>
      <c r="K424" s="74"/>
      <c r="L424" s="74"/>
      <c r="M424" s="74"/>
      <c r="N424" s="74"/>
      <c r="O424" s="74"/>
      <c r="P424" s="74"/>
    </row>
    <row r="425" ht="15.75" customHeight="1">
      <c r="A425" s="5"/>
      <c r="B425" s="5"/>
      <c r="C425" s="5"/>
      <c r="D425" s="5"/>
      <c r="E425" s="5"/>
      <c r="F425" s="148"/>
      <c r="G425" s="9"/>
      <c r="H425" s="74"/>
      <c r="I425" s="74"/>
      <c r="J425" s="74"/>
      <c r="K425" s="74"/>
      <c r="L425" s="74"/>
      <c r="M425" s="74"/>
      <c r="N425" s="74"/>
      <c r="O425" s="74"/>
      <c r="P425" s="74"/>
    </row>
    <row r="426" ht="15.75" customHeight="1">
      <c r="A426" s="5"/>
      <c r="B426" s="5"/>
      <c r="C426" s="5"/>
      <c r="D426" s="5"/>
      <c r="E426" s="5"/>
      <c r="F426" s="148"/>
      <c r="G426" s="9"/>
      <c r="H426" s="74"/>
      <c r="I426" s="74"/>
      <c r="J426" s="74"/>
      <c r="K426" s="74"/>
      <c r="L426" s="74"/>
      <c r="M426" s="74"/>
      <c r="N426" s="74"/>
      <c r="O426" s="74"/>
      <c r="P426" s="74"/>
    </row>
    <row r="427" ht="15.75" customHeight="1">
      <c r="A427" s="5"/>
      <c r="B427" s="5"/>
      <c r="C427" s="5"/>
      <c r="D427" s="5"/>
      <c r="E427" s="5"/>
      <c r="F427" s="148"/>
      <c r="G427" s="9"/>
      <c r="H427" s="74"/>
      <c r="I427" s="74"/>
      <c r="J427" s="74"/>
      <c r="K427" s="74"/>
      <c r="L427" s="74"/>
      <c r="M427" s="74"/>
      <c r="N427" s="74"/>
      <c r="O427" s="74"/>
      <c r="P427" s="74"/>
    </row>
    <row r="428" ht="15.75" customHeight="1">
      <c r="A428" s="5"/>
      <c r="B428" s="5"/>
      <c r="C428" s="5"/>
      <c r="D428" s="5"/>
      <c r="E428" s="5"/>
      <c r="F428" s="148"/>
      <c r="G428" s="9"/>
      <c r="H428" s="74"/>
      <c r="I428" s="74"/>
      <c r="J428" s="74"/>
      <c r="K428" s="74"/>
      <c r="L428" s="74"/>
      <c r="M428" s="74"/>
      <c r="N428" s="74"/>
      <c r="O428" s="74"/>
      <c r="P428" s="74"/>
    </row>
    <row r="429" ht="15.75" customHeight="1">
      <c r="A429" s="5"/>
      <c r="B429" s="5"/>
      <c r="C429" s="5"/>
      <c r="D429" s="5"/>
      <c r="E429" s="5"/>
      <c r="F429" s="148"/>
      <c r="G429" s="9"/>
      <c r="H429" s="74"/>
      <c r="I429" s="74"/>
      <c r="J429" s="74"/>
      <c r="K429" s="74"/>
      <c r="L429" s="74"/>
      <c r="M429" s="74"/>
      <c r="N429" s="74"/>
      <c r="O429" s="74"/>
      <c r="P429" s="74"/>
    </row>
    <row r="430" ht="15.75" customHeight="1">
      <c r="A430" s="5"/>
      <c r="B430" s="5"/>
      <c r="C430" s="5"/>
      <c r="D430" s="5"/>
      <c r="E430" s="5"/>
      <c r="F430" s="148"/>
      <c r="G430" s="9"/>
      <c r="H430" s="74"/>
      <c r="I430" s="74"/>
      <c r="J430" s="74"/>
      <c r="K430" s="74"/>
      <c r="L430" s="74"/>
      <c r="M430" s="74"/>
      <c r="N430" s="74"/>
      <c r="O430" s="74"/>
      <c r="P430" s="74"/>
    </row>
    <row r="431" ht="15.75" customHeight="1">
      <c r="A431" s="5"/>
      <c r="B431" s="5"/>
      <c r="C431" s="5"/>
      <c r="D431" s="5"/>
      <c r="E431" s="5"/>
      <c r="F431" s="148"/>
      <c r="G431" s="9"/>
      <c r="H431" s="74"/>
      <c r="I431" s="74"/>
      <c r="J431" s="74"/>
      <c r="K431" s="74"/>
      <c r="L431" s="74"/>
      <c r="M431" s="74"/>
      <c r="N431" s="74"/>
      <c r="O431" s="74"/>
      <c r="P431" s="74"/>
    </row>
    <row r="432" ht="15.75" customHeight="1">
      <c r="A432" s="5"/>
      <c r="B432" s="5"/>
      <c r="C432" s="5"/>
      <c r="D432" s="5"/>
      <c r="E432" s="5"/>
      <c r="F432" s="148"/>
      <c r="G432" s="9"/>
      <c r="H432" s="74"/>
      <c r="I432" s="74"/>
      <c r="J432" s="74"/>
      <c r="K432" s="74"/>
      <c r="L432" s="74"/>
      <c r="M432" s="74"/>
      <c r="N432" s="74"/>
      <c r="O432" s="74"/>
      <c r="P432" s="74"/>
    </row>
    <row r="433" ht="15.75" customHeight="1">
      <c r="A433" s="5"/>
      <c r="B433" s="5"/>
      <c r="C433" s="5"/>
      <c r="D433" s="5"/>
      <c r="E433" s="5"/>
      <c r="F433" s="148"/>
      <c r="G433" s="9"/>
      <c r="H433" s="74"/>
      <c r="I433" s="74"/>
      <c r="J433" s="74"/>
      <c r="K433" s="74"/>
      <c r="L433" s="74"/>
      <c r="M433" s="74"/>
      <c r="N433" s="74"/>
      <c r="O433" s="74"/>
      <c r="P433" s="74"/>
    </row>
    <row r="434" ht="15.75" customHeight="1">
      <c r="A434" s="5"/>
      <c r="B434" s="5"/>
      <c r="C434" s="5"/>
      <c r="D434" s="5"/>
      <c r="E434" s="5"/>
      <c r="F434" s="148"/>
      <c r="G434" s="9"/>
      <c r="H434" s="74"/>
      <c r="I434" s="74"/>
      <c r="J434" s="74"/>
      <c r="K434" s="74"/>
      <c r="L434" s="74"/>
      <c r="M434" s="74"/>
      <c r="N434" s="74"/>
      <c r="O434" s="74"/>
      <c r="P434" s="74"/>
    </row>
    <row r="435" ht="15.75" customHeight="1">
      <c r="A435" s="5"/>
      <c r="B435" s="5"/>
      <c r="C435" s="5"/>
      <c r="D435" s="5"/>
      <c r="E435" s="5"/>
      <c r="F435" s="148"/>
      <c r="G435" s="9"/>
      <c r="H435" s="74"/>
      <c r="I435" s="74"/>
      <c r="J435" s="74"/>
      <c r="K435" s="74"/>
      <c r="L435" s="74"/>
      <c r="M435" s="74"/>
      <c r="N435" s="74"/>
      <c r="O435" s="74"/>
      <c r="P435" s="74"/>
    </row>
    <row r="436" ht="15.75" customHeight="1">
      <c r="A436" s="5"/>
      <c r="B436" s="5"/>
      <c r="C436" s="5"/>
      <c r="D436" s="5"/>
      <c r="E436" s="5"/>
      <c r="F436" s="148"/>
      <c r="G436" s="9"/>
      <c r="H436" s="74"/>
      <c r="I436" s="74"/>
      <c r="J436" s="74"/>
      <c r="K436" s="74"/>
      <c r="L436" s="74"/>
      <c r="M436" s="74"/>
      <c r="N436" s="74"/>
      <c r="O436" s="74"/>
      <c r="P436" s="74"/>
    </row>
    <row r="437" ht="15.75" customHeight="1">
      <c r="A437" s="5"/>
      <c r="B437" s="5"/>
      <c r="C437" s="5"/>
      <c r="D437" s="5"/>
      <c r="E437" s="5"/>
      <c r="F437" s="148"/>
      <c r="G437" s="9"/>
      <c r="H437" s="74"/>
      <c r="I437" s="74"/>
      <c r="J437" s="74"/>
      <c r="K437" s="74"/>
      <c r="L437" s="74"/>
      <c r="M437" s="74"/>
      <c r="N437" s="74"/>
      <c r="O437" s="74"/>
      <c r="P437" s="74"/>
    </row>
    <row r="438" ht="15.75" customHeight="1">
      <c r="A438" s="5"/>
      <c r="B438" s="5"/>
      <c r="C438" s="5"/>
      <c r="D438" s="5"/>
      <c r="E438" s="5"/>
      <c r="F438" s="148"/>
      <c r="G438" s="9"/>
      <c r="H438" s="74"/>
      <c r="I438" s="74"/>
      <c r="J438" s="74"/>
      <c r="K438" s="74"/>
      <c r="L438" s="74"/>
      <c r="M438" s="74"/>
      <c r="N438" s="74"/>
      <c r="O438" s="74"/>
      <c r="P438" s="74"/>
    </row>
    <row r="439" ht="15.75" customHeight="1">
      <c r="A439" s="5"/>
      <c r="B439" s="5"/>
      <c r="C439" s="5"/>
      <c r="D439" s="5"/>
      <c r="E439" s="5"/>
      <c r="F439" s="148"/>
      <c r="G439" s="9"/>
      <c r="H439" s="74"/>
      <c r="I439" s="74"/>
      <c r="J439" s="74"/>
      <c r="K439" s="74"/>
      <c r="L439" s="74"/>
      <c r="M439" s="74"/>
      <c r="N439" s="74"/>
      <c r="O439" s="74"/>
      <c r="P439" s="74"/>
    </row>
    <row r="440" ht="15.75" customHeight="1">
      <c r="A440" s="5"/>
      <c r="B440" s="5"/>
      <c r="C440" s="5"/>
      <c r="D440" s="5"/>
      <c r="E440" s="5"/>
      <c r="F440" s="148"/>
      <c r="G440" s="9"/>
      <c r="H440" s="74"/>
      <c r="I440" s="74"/>
      <c r="J440" s="74"/>
      <c r="K440" s="74"/>
      <c r="L440" s="74"/>
      <c r="M440" s="74"/>
      <c r="N440" s="74"/>
      <c r="O440" s="74"/>
      <c r="P440" s="74"/>
    </row>
    <row r="441" ht="15.75" customHeight="1">
      <c r="A441" s="5"/>
      <c r="B441" s="5"/>
      <c r="C441" s="5"/>
      <c r="D441" s="5"/>
      <c r="E441" s="5"/>
      <c r="F441" s="148"/>
      <c r="G441" s="9"/>
      <c r="H441" s="74"/>
      <c r="I441" s="74"/>
      <c r="J441" s="74"/>
      <c r="K441" s="74"/>
      <c r="L441" s="74"/>
      <c r="M441" s="74"/>
      <c r="N441" s="74"/>
      <c r="O441" s="74"/>
      <c r="P441" s="74"/>
    </row>
    <row r="442" ht="15.75" customHeight="1">
      <c r="A442" s="5"/>
      <c r="B442" s="5"/>
      <c r="C442" s="5"/>
      <c r="D442" s="5"/>
      <c r="E442" s="5"/>
      <c r="F442" s="148"/>
      <c r="G442" s="9"/>
      <c r="H442" s="74"/>
      <c r="I442" s="74"/>
      <c r="J442" s="74"/>
      <c r="K442" s="74"/>
      <c r="L442" s="74"/>
      <c r="M442" s="74"/>
      <c r="N442" s="74"/>
      <c r="O442" s="74"/>
      <c r="P442" s="74"/>
    </row>
    <row r="443" ht="15.75" customHeight="1">
      <c r="A443" s="5"/>
      <c r="B443" s="5"/>
      <c r="C443" s="5"/>
      <c r="D443" s="5"/>
      <c r="E443" s="5"/>
      <c r="F443" s="148"/>
      <c r="G443" s="9"/>
      <c r="H443" s="74"/>
      <c r="I443" s="74"/>
      <c r="J443" s="74"/>
      <c r="K443" s="74"/>
      <c r="L443" s="74"/>
      <c r="M443" s="74"/>
      <c r="N443" s="74"/>
      <c r="O443" s="74"/>
      <c r="P443" s="74"/>
    </row>
    <row r="444" ht="15.75" customHeight="1">
      <c r="A444" s="5"/>
      <c r="B444" s="5"/>
      <c r="C444" s="5"/>
      <c r="D444" s="5"/>
      <c r="E444" s="5"/>
      <c r="F444" s="148"/>
      <c r="G444" s="9"/>
      <c r="H444" s="74"/>
      <c r="I444" s="74"/>
      <c r="J444" s="74"/>
      <c r="K444" s="74"/>
      <c r="L444" s="74"/>
      <c r="M444" s="74"/>
      <c r="N444" s="74"/>
      <c r="O444" s="74"/>
      <c r="P444" s="74"/>
    </row>
    <row r="445" ht="15.75" customHeight="1">
      <c r="A445" s="5"/>
      <c r="B445" s="5"/>
      <c r="C445" s="5"/>
      <c r="D445" s="5"/>
      <c r="E445" s="5"/>
      <c r="F445" s="148"/>
      <c r="G445" s="9"/>
      <c r="H445" s="74"/>
      <c r="I445" s="74"/>
      <c r="J445" s="74"/>
      <c r="K445" s="74"/>
      <c r="L445" s="74"/>
      <c r="M445" s="74"/>
      <c r="N445" s="74"/>
      <c r="O445" s="74"/>
      <c r="P445" s="74"/>
    </row>
    <row r="446" ht="15.75" customHeight="1">
      <c r="A446" s="5"/>
      <c r="B446" s="5"/>
      <c r="C446" s="5"/>
      <c r="D446" s="5"/>
      <c r="E446" s="5"/>
      <c r="F446" s="148"/>
      <c r="G446" s="9"/>
      <c r="H446" s="74"/>
      <c r="I446" s="74"/>
      <c r="J446" s="74"/>
      <c r="K446" s="74"/>
      <c r="L446" s="74"/>
      <c r="M446" s="74"/>
      <c r="N446" s="74"/>
      <c r="O446" s="74"/>
      <c r="P446" s="74"/>
    </row>
    <row r="447" ht="15.75" customHeight="1">
      <c r="A447" s="5"/>
      <c r="B447" s="5"/>
      <c r="C447" s="5"/>
      <c r="D447" s="5"/>
      <c r="E447" s="5"/>
      <c r="F447" s="148"/>
      <c r="G447" s="9"/>
      <c r="H447" s="74"/>
      <c r="I447" s="74"/>
      <c r="J447" s="74"/>
      <c r="K447" s="74"/>
      <c r="L447" s="74"/>
      <c r="M447" s="74"/>
      <c r="N447" s="74"/>
      <c r="O447" s="74"/>
      <c r="P447" s="74"/>
    </row>
    <row r="448" ht="15.75" customHeight="1">
      <c r="A448" s="5"/>
      <c r="B448" s="5"/>
      <c r="C448" s="5"/>
      <c r="D448" s="5"/>
      <c r="E448" s="5"/>
      <c r="F448" s="148"/>
      <c r="G448" s="9"/>
      <c r="H448" s="74"/>
      <c r="I448" s="74"/>
      <c r="J448" s="74"/>
      <c r="K448" s="74"/>
      <c r="L448" s="74"/>
      <c r="M448" s="74"/>
      <c r="N448" s="74"/>
      <c r="O448" s="74"/>
      <c r="P448" s="74"/>
    </row>
    <row r="449" ht="15.75" customHeight="1">
      <c r="A449" s="5"/>
      <c r="B449" s="5"/>
      <c r="C449" s="5"/>
      <c r="D449" s="5"/>
      <c r="E449" s="5"/>
      <c r="F449" s="148"/>
      <c r="G449" s="9"/>
      <c r="H449" s="74"/>
      <c r="I449" s="74"/>
      <c r="J449" s="74"/>
      <c r="K449" s="74"/>
      <c r="L449" s="74"/>
      <c r="M449" s="74"/>
      <c r="N449" s="74"/>
      <c r="O449" s="74"/>
      <c r="P449" s="74"/>
    </row>
    <row r="450" ht="15.75" customHeight="1">
      <c r="A450" s="5"/>
      <c r="B450" s="5"/>
      <c r="C450" s="5"/>
      <c r="D450" s="5"/>
      <c r="E450" s="5"/>
      <c r="F450" s="148"/>
      <c r="G450" s="9"/>
      <c r="H450" s="74"/>
      <c r="I450" s="74"/>
      <c r="J450" s="74"/>
      <c r="K450" s="74"/>
      <c r="L450" s="74"/>
      <c r="M450" s="74"/>
      <c r="N450" s="74"/>
      <c r="O450" s="74"/>
      <c r="P450" s="74"/>
    </row>
    <row r="451" ht="15.75" customHeight="1">
      <c r="A451" s="5"/>
      <c r="B451" s="5"/>
      <c r="C451" s="5"/>
      <c r="D451" s="5"/>
      <c r="E451" s="5"/>
      <c r="F451" s="148"/>
      <c r="G451" s="9"/>
      <c r="H451" s="74"/>
      <c r="I451" s="74"/>
      <c r="J451" s="74"/>
      <c r="K451" s="74"/>
      <c r="L451" s="74"/>
      <c r="M451" s="74"/>
      <c r="N451" s="74"/>
      <c r="O451" s="74"/>
      <c r="P451" s="74"/>
    </row>
    <row r="452" ht="15.75" customHeight="1">
      <c r="A452" s="5"/>
      <c r="B452" s="5"/>
      <c r="C452" s="5"/>
      <c r="D452" s="5"/>
      <c r="E452" s="5"/>
      <c r="F452" s="148"/>
      <c r="G452" s="9"/>
      <c r="H452" s="74"/>
      <c r="I452" s="74"/>
      <c r="J452" s="74"/>
      <c r="K452" s="74"/>
      <c r="L452" s="74"/>
      <c r="M452" s="74"/>
      <c r="N452" s="74"/>
      <c r="O452" s="74"/>
      <c r="P452" s="74"/>
    </row>
    <row r="453" ht="15.75" customHeight="1">
      <c r="A453" s="5"/>
      <c r="B453" s="5"/>
      <c r="C453" s="5"/>
      <c r="D453" s="5"/>
      <c r="E453" s="5"/>
      <c r="F453" s="148"/>
      <c r="G453" s="9"/>
      <c r="H453" s="74"/>
      <c r="I453" s="74"/>
      <c r="J453" s="74"/>
      <c r="K453" s="74"/>
      <c r="L453" s="74"/>
      <c r="M453" s="74"/>
      <c r="N453" s="74"/>
      <c r="O453" s="74"/>
      <c r="P453" s="74"/>
    </row>
    <row r="454" ht="15.75" customHeight="1">
      <c r="A454" s="5"/>
      <c r="B454" s="5"/>
      <c r="C454" s="5"/>
      <c r="D454" s="5"/>
      <c r="E454" s="5"/>
      <c r="F454" s="148"/>
      <c r="G454" s="9"/>
      <c r="H454" s="74"/>
      <c r="I454" s="74"/>
      <c r="J454" s="74"/>
      <c r="K454" s="74"/>
      <c r="L454" s="74"/>
      <c r="M454" s="74"/>
      <c r="N454" s="74"/>
      <c r="O454" s="74"/>
      <c r="P454" s="74"/>
    </row>
    <row r="455" ht="15.75" customHeight="1">
      <c r="A455" s="5"/>
      <c r="B455" s="5"/>
      <c r="C455" s="5"/>
      <c r="D455" s="5"/>
      <c r="E455" s="5"/>
      <c r="F455" s="148"/>
      <c r="G455" s="9"/>
      <c r="H455" s="74"/>
      <c r="I455" s="74"/>
      <c r="J455" s="74"/>
      <c r="K455" s="74"/>
      <c r="L455" s="74"/>
      <c r="M455" s="74"/>
      <c r="N455" s="74"/>
      <c r="O455" s="74"/>
      <c r="P455" s="74"/>
    </row>
    <row r="456" ht="15.75" customHeight="1">
      <c r="A456" s="5"/>
      <c r="B456" s="5"/>
      <c r="C456" s="5"/>
      <c r="D456" s="5"/>
      <c r="E456" s="5"/>
      <c r="F456" s="148"/>
      <c r="G456" s="9"/>
      <c r="H456" s="74"/>
      <c r="I456" s="74"/>
      <c r="J456" s="74"/>
      <c r="K456" s="74"/>
      <c r="L456" s="74"/>
      <c r="M456" s="74"/>
      <c r="N456" s="74"/>
      <c r="O456" s="74"/>
      <c r="P456" s="74"/>
    </row>
    <row r="457" ht="15.75" customHeight="1">
      <c r="A457" s="5"/>
      <c r="B457" s="5"/>
      <c r="C457" s="5"/>
      <c r="D457" s="5"/>
      <c r="E457" s="5"/>
      <c r="F457" s="148"/>
      <c r="G457" s="9"/>
      <c r="H457" s="74"/>
      <c r="I457" s="74"/>
      <c r="J457" s="74"/>
      <c r="K457" s="74"/>
      <c r="L457" s="74"/>
      <c r="M457" s="74"/>
      <c r="N457" s="74"/>
      <c r="O457" s="74"/>
      <c r="P457" s="74"/>
    </row>
    <row r="458" ht="15.75" customHeight="1">
      <c r="A458" s="5"/>
      <c r="B458" s="5"/>
      <c r="C458" s="5"/>
      <c r="D458" s="5"/>
      <c r="E458" s="5"/>
      <c r="F458" s="148"/>
      <c r="G458" s="9"/>
      <c r="H458" s="74"/>
      <c r="I458" s="74"/>
      <c r="J458" s="74"/>
      <c r="K458" s="74"/>
      <c r="L458" s="74"/>
      <c r="M458" s="74"/>
      <c r="N458" s="74"/>
      <c r="O458" s="74"/>
      <c r="P458" s="74"/>
    </row>
    <row r="459" ht="15.75" customHeight="1">
      <c r="A459" s="5"/>
      <c r="B459" s="5"/>
      <c r="C459" s="5"/>
      <c r="D459" s="5"/>
      <c r="E459" s="5"/>
      <c r="F459" s="148"/>
      <c r="G459" s="9"/>
      <c r="H459" s="74"/>
      <c r="I459" s="74"/>
      <c r="J459" s="74"/>
      <c r="K459" s="74"/>
      <c r="L459" s="74"/>
      <c r="M459" s="74"/>
      <c r="N459" s="74"/>
      <c r="O459" s="74"/>
      <c r="P459" s="74"/>
    </row>
    <row r="460" ht="15.75" customHeight="1">
      <c r="A460" s="5"/>
      <c r="B460" s="5"/>
      <c r="C460" s="5"/>
      <c r="D460" s="5"/>
      <c r="E460" s="5"/>
      <c r="F460" s="148"/>
      <c r="G460" s="9"/>
      <c r="H460" s="74"/>
      <c r="I460" s="74"/>
      <c r="J460" s="74"/>
      <c r="K460" s="74"/>
      <c r="L460" s="74"/>
      <c r="M460" s="74"/>
      <c r="N460" s="74"/>
      <c r="O460" s="74"/>
      <c r="P460" s="74"/>
    </row>
    <row r="461" ht="15.75" customHeight="1">
      <c r="A461" s="5"/>
      <c r="B461" s="5"/>
      <c r="C461" s="5"/>
      <c r="D461" s="5"/>
      <c r="E461" s="5"/>
      <c r="F461" s="148"/>
      <c r="G461" s="9"/>
      <c r="H461" s="74"/>
      <c r="I461" s="74"/>
      <c r="J461" s="74"/>
      <c r="K461" s="74"/>
      <c r="L461" s="74"/>
      <c r="M461" s="74"/>
      <c r="N461" s="74"/>
      <c r="O461" s="74"/>
      <c r="P461" s="74"/>
    </row>
    <row r="462" ht="15.75" customHeight="1">
      <c r="A462" s="5"/>
      <c r="B462" s="5"/>
      <c r="C462" s="5"/>
      <c r="D462" s="5"/>
      <c r="E462" s="5"/>
      <c r="F462" s="148"/>
      <c r="G462" s="9"/>
      <c r="H462" s="74"/>
      <c r="I462" s="74"/>
      <c r="J462" s="74"/>
      <c r="K462" s="74"/>
      <c r="L462" s="74"/>
      <c r="M462" s="74"/>
      <c r="N462" s="74"/>
      <c r="O462" s="74"/>
      <c r="P462" s="74"/>
    </row>
    <row r="463" ht="15.75" customHeight="1">
      <c r="A463" s="5"/>
      <c r="B463" s="5"/>
      <c r="C463" s="5"/>
      <c r="D463" s="5"/>
      <c r="E463" s="5"/>
      <c r="F463" s="148"/>
      <c r="G463" s="9"/>
      <c r="H463" s="74"/>
      <c r="I463" s="74"/>
      <c r="J463" s="74"/>
      <c r="K463" s="74"/>
      <c r="L463" s="74"/>
      <c r="M463" s="74"/>
      <c r="N463" s="74"/>
      <c r="O463" s="74"/>
      <c r="P463" s="74"/>
    </row>
    <row r="464" ht="15.75" customHeight="1">
      <c r="A464" s="5"/>
      <c r="B464" s="5"/>
      <c r="C464" s="5"/>
      <c r="D464" s="5"/>
      <c r="E464" s="5"/>
      <c r="F464" s="148"/>
      <c r="G464" s="9"/>
      <c r="H464" s="74"/>
      <c r="I464" s="74"/>
      <c r="J464" s="74"/>
      <c r="K464" s="74"/>
      <c r="L464" s="74"/>
      <c r="M464" s="74"/>
      <c r="N464" s="74"/>
      <c r="O464" s="74"/>
      <c r="P464" s="74"/>
    </row>
    <row r="465" ht="15.75" customHeight="1">
      <c r="A465" s="5"/>
      <c r="B465" s="5"/>
      <c r="C465" s="5"/>
      <c r="D465" s="5"/>
      <c r="E465" s="5"/>
      <c r="F465" s="148"/>
      <c r="G465" s="9"/>
      <c r="H465" s="74"/>
      <c r="I465" s="74"/>
      <c r="J465" s="74"/>
      <c r="K465" s="74"/>
      <c r="L465" s="74"/>
      <c r="M465" s="74"/>
      <c r="N465" s="74"/>
      <c r="O465" s="74"/>
      <c r="P465" s="74"/>
    </row>
    <row r="466" ht="15.75" customHeight="1">
      <c r="A466" s="5"/>
      <c r="B466" s="5"/>
      <c r="C466" s="5"/>
      <c r="D466" s="5"/>
      <c r="E466" s="5"/>
      <c r="F466" s="148"/>
      <c r="G466" s="9"/>
      <c r="H466" s="74"/>
      <c r="I466" s="74"/>
      <c r="J466" s="74"/>
      <c r="K466" s="74"/>
      <c r="L466" s="74"/>
      <c r="M466" s="74"/>
      <c r="N466" s="74"/>
      <c r="O466" s="74"/>
      <c r="P466" s="74"/>
    </row>
    <row r="467" ht="15.75" customHeight="1">
      <c r="A467" s="5"/>
      <c r="B467" s="5"/>
      <c r="C467" s="5"/>
      <c r="D467" s="5"/>
      <c r="E467" s="5"/>
      <c r="F467" s="148"/>
      <c r="G467" s="9"/>
      <c r="H467" s="74"/>
      <c r="I467" s="74"/>
      <c r="J467" s="74"/>
      <c r="K467" s="74"/>
      <c r="L467" s="74"/>
      <c r="M467" s="74"/>
      <c r="N467" s="74"/>
      <c r="O467" s="74"/>
      <c r="P467" s="74"/>
    </row>
    <row r="468" ht="15.75" customHeight="1">
      <c r="A468" s="5"/>
      <c r="B468" s="5"/>
      <c r="C468" s="5"/>
      <c r="D468" s="5"/>
      <c r="E468" s="5"/>
      <c r="F468" s="148"/>
      <c r="G468" s="9"/>
      <c r="H468" s="74"/>
      <c r="I468" s="74"/>
      <c r="J468" s="74"/>
      <c r="K468" s="74"/>
      <c r="L468" s="74"/>
      <c r="M468" s="74"/>
      <c r="N468" s="74"/>
      <c r="O468" s="74"/>
      <c r="P468" s="74"/>
    </row>
    <row r="469" ht="15.75" customHeight="1">
      <c r="A469" s="5"/>
      <c r="B469" s="5"/>
      <c r="C469" s="5"/>
      <c r="D469" s="5"/>
      <c r="E469" s="5"/>
      <c r="F469" s="148"/>
      <c r="G469" s="9"/>
      <c r="H469" s="74"/>
      <c r="I469" s="74"/>
      <c r="J469" s="74"/>
      <c r="K469" s="74"/>
      <c r="L469" s="74"/>
      <c r="M469" s="74"/>
      <c r="N469" s="74"/>
      <c r="O469" s="74"/>
      <c r="P469" s="74"/>
    </row>
    <row r="470" ht="15.75" customHeight="1">
      <c r="A470" s="5"/>
      <c r="B470" s="5"/>
      <c r="C470" s="5"/>
      <c r="D470" s="5"/>
      <c r="E470" s="5"/>
      <c r="F470" s="148"/>
      <c r="G470" s="9"/>
      <c r="H470" s="74"/>
      <c r="I470" s="74"/>
      <c r="J470" s="74"/>
      <c r="K470" s="74"/>
      <c r="L470" s="74"/>
      <c r="M470" s="74"/>
      <c r="N470" s="74"/>
      <c r="O470" s="74"/>
      <c r="P470" s="74"/>
    </row>
    <row r="471" ht="15.75" customHeight="1">
      <c r="A471" s="5"/>
      <c r="B471" s="5"/>
      <c r="C471" s="5"/>
      <c r="D471" s="5"/>
      <c r="E471" s="5"/>
      <c r="F471" s="148"/>
      <c r="G471" s="9"/>
      <c r="H471" s="74"/>
      <c r="I471" s="74"/>
      <c r="J471" s="74"/>
      <c r="K471" s="74"/>
      <c r="L471" s="74"/>
      <c r="M471" s="74"/>
      <c r="N471" s="74"/>
      <c r="O471" s="74"/>
      <c r="P471" s="74"/>
    </row>
    <row r="472" ht="15.75" customHeight="1">
      <c r="A472" s="5"/>
      <c r="B472" s="5"/>
      <c r="C472" s="5"/>
      <c r="D472" s="5"/>
      <c r="E472" s="5"/>
      <c r="F472" s="148"/>
      <c r="G472" s="9"/>
      <c r="H472" s="74"/>
      <c r="I472" s="74"/>
      <c r="J472" s="74"/>
      <c r="K472" s="74"/>
      <c r="L472" s="74"/>
      <c r="M472" s="74"/>
      <c r="N472" s="74"/>
      <c r="O472" s="74"/>
      <c r="P472" s="74"/>
    </row>
    <row r="473" ht="15.75" customHeight="1">
      <c r="A473" s="5"/>
      <c r="B473" s="5"/>
      <c r="C473" s="5"/>
      <c r="D473" s="5"/>
      <c r="E473" s="5"/>
      <c r="F473" s="148"/>
      <c r="G473" s="9"/>
      <c r="H473" s="74"/>
      <c r="I473" s="74"/>
      <c r="J473" s="74"/>
      <c r="K473" s="74"/>
      <c r="L473" s="74"/>
      <c r="M473" s="74"/>
      <c r="N473" s="74"/>
      <c r="O473" s="74"/>
      <c r="P473" s="74"/>
    </row>
    <row r="474" ht="15.75" customHeight="1">
      <c r="A474" s="5"/>
      <c r="B474" s="5"/>
      <c r="C474" s="5"/>
      <c r="D474" s="5"/>
      <c r="E474" s="5"/>
      <c r="F474" s="148"/>
      <c r="G474" s="9"/>
      <c r="H474" s="74"/>
      <c r="I474" s="74"/>
      <c r="J474" s="74"/>
      <c r="K474" s="74"/>
      <c r="L474" s="74"/>
      <c r="M474" s="74"/>
      <c r="N474" s="74"/>
      <c r="O474" s="74"/>
      <c r="P474" s="74"/>
    </row>
    <row r="475" ht="15.75" customHeight="1">
      <c r="A475" s="5"/>
      <c r="B475" s="5"/>
      <c r="C475" s="5"/>
      <c r="D475" s="5"/>
      <c r="E475" s="5"/>
      <c r="F475" s="148"/>
      <c r="G475" s="9"/>
      <c r="H475" s="74"/>
      <c r="I475" s="74"/>
      <c r="J475" s="74"/>
      <c r="K475" s="74"/>
      <c r="L475" s="74"/>
      <c r="M475" s="74"/>
      <c r="N475" s="74"/>
      <c r="O475" s="74"/>
      <c r="P475" s="74"/>
    </row>
    <row r="476" ht="15.75" customHeight="1">
      <c r="A476" s="5"/>
      <c r="B476" s="5"/>
      <c r="C476" s="5"/>
      <c r="D476" s="5"/>
      <c r="E476" s="5"/>
      <c r="F476" s="148"/>
      <c r="G476" s="9"/>
      <c r="H476" s="74"/>
      <c r="I476" s="74"/>
      <c r="J476" s="74"/>
      <c r="K476" s="74"/>
      <c r="L476" s="74"/>
      <c r="M476" s="74"/>
      <c r="N476" s="74"/>
      <c r="O476" s="74"/>
      <c r="P476" s="74"/>
    </row>
    <row r="477" ht="15.75" customHeight="1">
      <c r="A477" s="5"/>
      <c r="B477" s="5"/>
      <c r="C477" s="5"/>
      <c r="D477" s="5"/>
      <c r="E477" s="5"/>
      <c r="F477" s="148"/>
      <c r="G477" s="9"/>
      <c r="H477" s="74"/>
      <c r="I477" s="74"/>
      <c r="J477" s="74"/>
      <c r="K477" s="74"/>
      <c r="L477" s="74"/>
      <c r="M477" s="74"/>
      <c r="N477" s="74"/>
      <c r="O477" s="74"/>
      <c r="P477" s="74"/>
    </row>
    <row r="478" ht="15.75" customHeight="1">
      <c r="A478" s="5"/>
      <c r="B478" s="5"/>
      <c r="C478" s="5"/>
      <c r="D478" s="5"/>
      <c r="E478" s="5"/>
      <c r="F478" s="148"/>
      <c r="G478" s="9"/>
      <c r="H478" s="74"/>
      <c r="I478" s="74"/>
      <c r="J478" s="74"/>
      <c r="K478" s="74"/>
      <c r="L478" s="74"/>
      <c r="M478" s="74"/>
      <c r="N478" s="74"/>
      <c r="O478" s="74"/>
      <c r="P478" s="74"/>
    </row>
    <row r="479" ht="15.75" customHeight="1">
      <c r="A479" s="5"/>
      <c r="B479" s="5"/>
      <c r="C479" s="5"/>
      <c r="D479" s="5"/>
      <c r="E479" s="5"/>
      <c r="F479" s="148"/>
      <c r="G479" s="9"/>
      <c r="H479" s="74"/>
      <c r="I479" s="74"/>
      <c r="J479" s="74"/>
      <c r="K479" s="74"/>
      <c r="L479" s="74"/>
      <c r="M479" s="74"/>
      <c r="N479" s="74"/>
      <c r="O479" s="74"/>
      <c r="P479" s="74"/>
    </row>
    <row r="480" ht="15.75" customHeight="1">
      <c r="A480" s="5"/>
      <c r="B480" s="5"/>
      <c r="C480" s="5"/>
      <c r="D480" s="5"/>
      <c r="E480" s="5"/>
      <c r="F480" s="148"/>
      <c r="G480" s="9"/>
      <c r="H480" s="74"/>
      <c r="I480" s="74"/>
      <c r="J480" s="74"/>
      <c r="K480" s="74"/>
      <c r="L480" s="74"/>
      <c r="M480" s="74"/>
      <c r="N480" s="74"/>
      <c r="O480" s="74"/>
      <c r="P480" s="74"/>
    </row>
    <row r="481" ht="15.75" customHeight="1">
      <c r="A481" s="5"/>
      <c r="B481" s="5"/>
      <c r="C481" s="5"/>
      <c r="D481" s="5"/>
      <c r="E481" s="5"/>
      <c r="F481" s="148"/>
      <c r="G481" s="9"/>
      <c r="H481" s="74"/>
      <c r="I481" s="74"/>
      <c r="J481" s="74"/>
      <c r="K481" s="74"/>
      <c r="L481" s="74"/>
      <c r="M481" s="74"/>
      <c r="N481" s="74"/>
      <c r="O481" s="74"/>
      <c r="P481" s="74"/>
    </row>
    <row r="482" ht="15.75" customHeight="1">
      <c r="A482" s="5"/>
      <c r="B482" s="5"/>
      <c r="C482" s="5"/>
      <c r="D482" s="5"/>
      <c r="E482" s="5"/>
      <c r="F482" s="148"/>
      <c r="G482" s="9"/>
      <c r="H482" s="74"/>
      <c r="I482" s="74"/>
      <c r="J482" s="74"/>
      <c r="K482" s="74"/>
      <c r="L482" s="74"/>
      <c r="M482" s="74"/>
      <c r="N482" s="74"/>
      <c r="O482" s="74"/>
      <c r="P482" s="74"/>
    </row>
    <row r="483" ht="15.75" customHeight="1">
      <c r="A483" s="5"/>
      <c r="B483" s="5"/>
      <c r="C483" s="5"/>
      <c r="D483" s="5"/>
      <c r="E483" s="5"/>
      <c r="F483" s="148"/>
      <c r="G483" s="9"/>
      <c r="H483" s="74"/>
      <c r="I483" s="74"/>
      <c r="J483" s="74"/>
      <c r="K483" s="74"/>
      <c r="L483" s="74"/>
      <c r="M483" s="74"/>
      <c r="N483" s="74"/>
      <c r="O483" s="74"/>
      <c r="P483" s="74"/>
    </row>
    <row r="484" ht="15.75" customHeight="1">
      <c r="A484" s="5"/>
      <c r="B484" s="5"/>
      <c r="C484" s="5"/>
      <c r="D484" s="5"/>
      <c r="E484" s="5"/>
      <c r="F484" s="148"/>
      <c r="G484" s="9"/>
      <c r="H484" s="74"/>
      <c r="I484" s="74"/>
      <c r="J484" s="74"/>
      <c r="K484" s="74"/>
      <c r="L484" s="74"/>
      <c r="M484" s="74"/>
      <c r="N484" s="74"/>
      <c r="O484" s="74"/>
      <c r="P484" s="74"/>
    </row>
    <row r="485" ht="15.75" customHeight="1">
      <c r="A485" s="5"/>
      <c r="B485" s="5"/>
      <c r="C485" s="5"/>
      <c r="D485" s="5"/>
      <c r="E485" s="5"/>
      <c r="F485" s="148"/>
      <c r="G485" s="9"/>
      <c r="H485" s="74"/>
      <c r="I485" s="74"/>
      <c r="J485" s="74"/>
      <c r="K485" s="74"/>
      <c r="L485" s="74"/>
      <c r="M485" s="74"/>
      <c r="N485" s="74"/>
      <c r="O485" s="74"/>
      <c r="P485" s="74"/>
    </row>
    <row r="486" ht="15.75" customHeight="1">
      <c r="A486" s="5"/>
      <c r="B486" s="5"/>
      <c r="C486" s="5"/>
      <c r="D486" s="5"/>
      <c r="E486" s="5"/>
      <c r="F486" s="148"/>
      <c r="G486" s="9"/>
      <c r="H486" s="74"/>
      <c r="I486" s="74"/>
      <c r="J486" s="74"/>
      <c r="K486" s="74"/>
      <c r="L486" s="74"/>
      <c r="M486" s="74"/>
      <c r="N486" s="74"/>
      <c r="O486" s="74"/>
      <c r="P486" s="74"/>
    </row>
    <row r="487" ht="15.75" customHeight="1">
      <c r="A487" s="5"/>
      <c r="B487" s="5"/>
      <c r="C487" s="5"/>
      <c r="D487" s="5"/>
      <c r="E487" s="5"/>
      <c r="F487" s="148"/>
      <c r="G487" s="9"/>
      <c r="H487" s="74"/>
      <c r="I487" s="74"/>
      <c r="J487" s="74"/>
      <c r="K487" s="74"/>
      <c r="L487" s="74"/>
      <c r="M487" s="74"/>
      <c r="N487" s="74"/>
      <c r="O487" s="74"/>
      <c r="P487" s="74"/>
    </row>
    <row r="488" ht="15.75" customHeight="1">
      <c r="A488" s="5"/>
      <c r="B488" s="5"/>
      <c r="C488" s="5"/>
      <c r="D488" s="5"/>
      <c r="E488" s="5"/>
      <c r="F488" s="148"/>
      <c r="G488" s="9"/>
      <c r="H488" s="74"/>
      <c r="I488" s="74"/>
      <c r="J488" s="74"/>
      <c r="K488" s="74"/>
      <c r="L488" s="74"/>
      <c r="M488" s="74"/>
      <c r="N488" s="74"/>
      <c r="O488" s="74"/>
      <c r="P488" s="74"/>
    </row>
    <row r="489" ht="15.75" customHeight="1">
      <c r="A489" s="5"/>
      <c r="B489" s="5"/>
      <c r="C489" s="5"/>
      <c r="D489" s="5"/>
      <c r="E489" s="5"/>
      <c r="F489" s="148"/>
      <c r="G489" s="9"/>
      <c r="H489" s="74"/>
      <c r="I489" s="74"/>
      <c r="J489" s="74"/>
      <c r="K489" s="74"/>
      <c r="L489" s="74"/>
      <c r="M489" s="74"/>
      <c r="N489" s="74"/>
      <c r="O489" s="74"/>
      <c r="P489" s="74"/>
    </row>
    <row r="490" ht="15.75" customHeight="1">
      <c r="A490" s="5"/>
      <c r="B490" s="5"/>
      <c r="C490" s="5"/>
      <c r="D490" s="5"/>
      <c r="E490" s="5"/>
      <c r="F490" s="148"/>
      <c r="G490" s="9"/>
      <c r="H490" s="74"/>
      <c r="I490" s="74"/>
      <c r="J490" s="74"/>
      <c r="K490" s="74"/>
      <c r="L490" s="74"/>
      <c r="M490" s="74"/>
      <c r="N490" s="74"/>
      <c r="O490" s="74"/>
      <c r="P490" s="74"/>
    </row>
    <row r="491" ht="15.75" customHeight="1">
      <c r="A491" s="5"/>
      <c r="B491" s="5"/>
      <c r="C491" s="5"/>
      <c r="D491" s="5"/>
      <c r="E491" s="5"/>
      <c r="F491" s="148"/>
      <c r="G491" s="9"/>
      <c r="H491" s="74"/>
      <c r="I491" s="74"/>
      <c r="J491" s="74"/>
      <c r="K491" s="74"/>
      <c r="L491" s="74"/>
      <c r="M491" s="74"/>
      <c r="N491" s="74"/>
      <c r="O491" s="74"/>
      <c r="P491" s="74"/>
    </row>
    <row r="492" ht="15.75" customHeight="1">
      <c r="A492" s="5"/>
      <c r="B492" s="5"/>
      <c r="C492" s="5"/>
      <c r="D492" s="5"/>
      <c r="E492" s="5"/>
      <c r="F492" s="148"/>
      <c r="G492" s="9"/>
      <c r="H492" s="74"/>
      <c r="I492" s="74"/>
      <c r="J492" s="74"/>
      <c r="K492" s="74"/>
      <c r="L492" s="74"/>
      <c r="M492" s="74"/>
      <c r="N492" s="74"/>
      <c r="O492" s="74"/>
      <c r="P492" s="74"/>
    </row>
    <row r="493" ht="15.75" customHeight="1">
      <c r="A493" s="5"/>
      <c r="B493" s="5"/>
      <c r="C493" s="5"/>
      <c r="D493" s="5"/>
      <c r="E493" s="5"/>
      <c r="F493" s="148"/>
      <c r="G493" s="9"/>
      <c r="H493" s="74"/>
      <c r="I493" s="74"/>
      <c r="J493" s="74"/>
      <c r="K493" s="74"/>
      <c r="L493" s="74"/>
      <c r="M493" s="74"/>
      <c r="N493" s="74"/>
      <c r="O493" s="74"/>
      <c r="P493" s="74"/>
    </row>
    <row r="494" ht="15.75" customHeight="1">
      <c r="A494" s="5"/>
      <c r="B494" s="5"/>
      <c r="C494" s="5"/>
      <c r="D494" s="5"/>
      <c r="E494" s="5"/>
      <c r="F494" s="148"/>
      <c r="G494" s="9"/>
      <c r="H494" s="74"/>
      <c r="I494" s="74"/>
      <c r="J494" s="74"/>
      <c r="K494" s="74"/>
      <c r="L494" s="74"/>
      <c r="M494" s="74"/>
      <c r="N494" s="74"/>
      <c r="O494" s="74"/>
      <c r="P494" s="74"/>
    </row>
    <row r="495" ht="15.75" customHeight="1">
      <c r="A495" s="5"/>
      <c r="B495" s="5"/>
      <c r="C495" s="5"/>
      <c r="D495" s="5"/>
      <c r="E495" s="5"/>
      <c r="F495" s="148"/>
      <c r="G495" s="9"/>
      <c r="H495" s="74"/>
      <c r="I495" s="74"/>
      <c r="J495" s="74"/>
      <c r="K495" s="74"/>
      <c r="L495" s="74"/>
      <c r="M495" s="74"/>
      <c r="N495" s="74"/>
      <c r="O495" s="74"/>
      <c r="P495" s="74"/>
    </row>
    <row r="496" ht="15.75" customHeight="1">
      <c r="A496" s="5"/>
      <c r="B496" s="5"/>
      <c r="C496" s="5"/>
      <c r="D496" s="5"/>
      <c r="E496" s="5"/>
      <c r="F496" s="148"/>
      <c r="G496" s="9"/>
      <c r="H496" s="74"/>
      <c r="I496" s="74"/>
      <c r="J496" s="74"/>
      <c r="K496" s="74"/>
      <c r="L496" s="74"/>
      <c r="M496" s="74"/>
      <c r="N496" s="74"/>
      <c r="O496" s="74"/>
      <c r="P496" s="74"/>
    </row>
    <row r="497" ht="15.75" customHeight="1">
      <c r="A497" s="5"/>
      <c r="B497" s="5"/>
      <c r="C497" s="5"/>
      <c r="D497" s="5"/>
      <c r="E497" s="5"/>
      <c r="F497" s="148"/>
      <c r="G497" s="9"/>
      <c r="H497" s="74"/>
      <c r="I497" s="74"/>
      <c r="J497" s="74"/>
      <c r="K497" s="74"/>
      <c r="L497" s="74"/>
      <c r="M497" s="74"/>
      <c r="N497" s="74"/>
      <c r="O497" s="74"/>
      <c r="P497" s="74"/>
    </row>
    <row r="498" ht="15.75" customHeight="1">
      <c r="A498" s="5"/>
      <c r="B498" s="5"/>
      <c r="C498" s="5"/>
      <c r="D498" s="5"/>
      <c r="E498" s="5"/>
      <c r="F498" s="148"/>
      <c r="G498" s="9"/>
      <c r="H498" s="74"/>
      <c r="I498" s="74"/>
      <c r="J498" s="74"/>
      <c r="K498" s="74"/>
      <c r="L498" s="74"/>
      <c r="M498" s="74"/>
      <c r="N498" s="74"/>
      <c r="O498" s="74"/>
      <c r="P498" s="74"/>
    </row>
    <row r="499" ht="15.75" customHeight="1">
      <c r="A499" s="5"/>
      <c r="B499" s="5"/>
      <c r="C499" s="5"/>
      <c r="D499" s="5"/>
      <c r="E499" s="5"/>
      <c r="F499" s="148"/>
      <c r="G499" s="9"/>
      <c r="H499" s="74"/>
      <c r="I499" s="74"/>
      <c r="J499" s="74"/>
      <c r="K499" s="74"/>
      <c r="L499" s="74"/>
      <c r="M499" s="74"/>
      <c r="N499" s="74"/>
      <c r="O499" s="74"/>
      <c r="P499" s="74"/>
    </row>
    <row r="500" ht="15.75" customHeight="1">
      <c r="A500" s="5"/>
      <c r="B500" s="5"/>
      <c r="C500" s="5"/>
      <c r="D500" s="5"/>
      <c r="E500" s="5"/>
      <c r="F500" s="148"/>
      <c r="G500" s="9"/>
      <c r="H500" s="74"/>
      <c r="I500" s="74"/>
      <c r="J500" s="74"/>
      <c r="K500" s="74"/>
      <c r="L500" s="74"/>
      <c r="M500" s="74"/>
      <c r="N500" s="74"/>
      <c r="O500" s="74"/>
      <c r="P500" s="74"/>
    </row>
    <row r="501" ht="15.75" customHeight="1">
      <c r="A501" s="5"/>
      <c r="B501" s="5"/>
      <c r="C501" s="5"/>
      <c r="D501" s="5"/>
      <c r="E501" s="5"/>
      <c r="F501" s="148"/>
      <c r="G501" s="9"/>
      <c r="H501" s="74"/>
      <c r="I501" s="74"/>
      <c r="J501" s="74"/>
      <c r="K501" s="74"/>
      <c r="L501" s="74"/>
      <c r="M501" s="74"/>
      <c r="N501" s="74"/>
      <c r="O501" s="74"/>
      <c r="P501" s="74"/>
    </row>
    <row r="502" ht="15.75" customHeight="1">
      <c r="A502" s="5"/>
      <c r="B502" s="5"/>
      <c r="C502" s="5"/>
      <c r="D502" s="5"/>
      <c r="E502" s="5"/>
      <c r="F502" s="148"/>
      <c r="G502" s="9"/>
      <c r="H502" s="74"/>
      <c r="I502" s="74"/>
      <c r="J502" s="74"/>
      <c r="K502" s="74"/>
      <c r="L502" s="74"/>
      <c r="M502" s="74"/>
      <c r="N502" s="74"/>
      <c r="O502" s="74"/>
      <c r="P502" s="74"/>
    </row>
    <row r="503" ht="15.75" customHeight="1">
      <c r="A503" s="5"/>
      <c r="B503" s="5"/>
      <c r="C503" s="5"/>
      <c r="D503" s="5"/>
      <c r="E503" s="5"/>
      <c r="F503" s="148"/>
      <c r="G503" s="9"/>
      <c r="H503" s="74"/>
      <c r="I503" s="74"/>
      <c r="J503" s="74"/>
      <c r="K503" s="74"/>
      <c r="L503" s="74"/>
      <c r="M503" s="74"/>
      <c r="N503" s="74"/>
      <c r="O503" s="74"/>
      <c r="P503" s="74"/>
    </row>
    <row r="504" ht="15.75" customHeight="1">
      <c r="A504" s="5"/>
      <c r="B504" s="5"/>
      <c r="C504" s="5"/>
      <c r="D504" s="5"/>
      <c r="E504" s="5"/>
      <c r="F504" s="148"/>
      <c r="G504" s="9"/>
      <c r="H504" s="74"/>
      <c r="I504" s="74"/>
      <c r="J504" s="74"/>
      <c r="K504" s="74"/>
      <c r="L504" s="74"/>
      <c r="M504" s="74"/>
      <c r="N504" s="74"/>
      <c r="O504" s="74"/>
      <c r="P504" s="74"/>
    </row>
    <row r="505" ht="15.75" customHeight="1">
      <c r="A505" s="5"/>
      <c r="B505" s="5"/>
      <c r="C505" s="5"/>
      <c r="D505" s="5"/>
      <c r="E505" s="5"/>
      <c r="F505" s="148"/>
      <c r="G505" s="9"/>
      <c r="H505" s="74"/>
      <c r="I505" s="74"/>
      <c r="J505" s="74"/>
      <c r="K505" s="74"/>
      <c r="L505" s="74"/>
      <c r="M505" s="74"/>
      <c r="N505" s="74"/>
      <c r="O505" s="74"/>
      <c r="P505" s="74"/>
    </row>
    <row r="506" ht="15.75" customHeight="1">
      <c r="A506" s="5"/>
      <c r="B506" s="5"/>
      <c r="C506" s="5"/>
      <c r="D506" s="5"/>
      <c r="E506" s="5"/>
      <c r="F506" s="148"/>
      <c r="G506" s="9"/>
      <c r="H506" s="74"/>
      <c r="I506" s="74"/>
      <c r="J506" s="74"/>
      <c r="K506" s="74"/>
      <c r="L506" s="74"/>
      <c r="M506" s="74"/>
      <c r="N506" s="74"/>
      <c r="O506" s="74"/>
      <c r="P506" s="74"/>
    </row>
    <row r="507" ht="15.75" customHeight="1">
      <c r="A507" s="5"/>
      <c r="B507" s="5"/>
      <c r="C507" s="5"/>
      <c r="D507" s="5"/>
      <c r="E507" s="5"/>
      <c r="F507" s="148"/>
      <c r="G507" s="9"/>
      <c r="H507" s="74"/>
      <c r="I507" s="74"/>
      <c r="J507" s="74"/>
      <c r="K507" s="74"/>
      <c r="L507" s="74"/>
      <c r="M507" s="74"/>
      <c r="N507" s="74"/>
      <c r="O507" s="74"/>
      <c r="P507" s="74"/>
    </row>
    <row r="508" ht="15.75" customHeight="1">
      <c r="A508" s="5"/>
      <c r="B508" s="5"/>
      <c r="C508" s="5"/>
      <c r="D508" s="5"/>
      <c r="E508" s="5"/>
      <c r="F508" s="148"/>
      <c r="G508" s="9"/>
      <c r="H508" s="74"/>
      <c r="I508" s="74"/>
      <c r="J508" s="74"/>
      <c r="K508" s="74"/>
      <c r="L508" s="74"/>
      <c r="M508" s="74"/>
      <c r="N508" s="74"/>
      <c r="O508" s="74"/>
      <c r="P508" s="74"/>
    </row>
    <row r="509" ht="15.75" customHeight="1">
      <c r="A509" s="5"/>
      <c r="B509" s="5"/>
      <c r="C509" s="5"/>
      <c r="D509" s="5"/>
      <c r="E509" s="5"/>
      <c r="F509" s="148"/>
      <c r="G509" s="9"/>
      <c r="H509" s="74"/>
      <c r="I509" s="74"/>
      <c r="J509" s="74"/>
      <c r="K509" s="74"/>
      <c r="L509" s="74"/>
      <c r="M509" s="74"/>
      <c r="N509" s="74"/>
      <c r="O509" s="74"/>
      <c r="P509" s="74"/>
    </row>
    <row r="510" ht="15.75" customHeight="1">
      <c r="A510" s="5"/>
      <c r="B510" s="5"/>
      <c r="C510" s="5"/>
      <c r="D510" s="5"/>
      <c r="E510" s="5"/>
      <c r="F510" s="148"/>
      <c r="G510" s="9"/>
      <c r="H510" s="74"/>
      <c r="I510" s="74"/>
      <c r="J510" s="74"/>
      <c r="K510" s="74"/>
      <c r="L510" s="74"/>
      <c r="M510" s="74"/>
      <c r="N510" s="74"/>
      <c r="O510" s="74"/>
      <c r="P510" s="74"/>
    </row>
    <row r="511" ht="15.75" customHeight="1">
      <c r="A511" s="5"/>
      <c r="B511" s="5"/>
      <c r="C511" s="5"/>
      <c r="D511" s="5"/>
      <c r="E511" s="5"/>
      <c r="F511" s="148"/>
      <c r="G511" s="9"/>
      <c r="H511" s="74"/>
      <c r="I511" s="74"/>
      <c r="J511" s="74"/>
      <c r="K511" s="74"/>
      <c r="L511" s="74"/>
      <c r="M511" s="74"/>
      <c r="N511" s="74"/>
      <c r="O511" s="74"/>
      <c r="P511" s="74"/>
    </row>
    <row r="512" ht="15.75" customHeight="1">
      <c r="A512" s="5"/>
      <c r="B512" s="5"/>
      <c r="C512" s="5"/>
      <c r="D512" s="5"/>
      <c r="E512" s="5"/>
      <c r="F512" s="148"/>
      <c r="G512" s="9"/>
      <c r="H512" s="74"/>
      <c r="I512" s="74"/>
      <c r="J512" s="74"/>
      <c r="K512" s="74"/>
      <c r="L512" s="74"/>
      <c r="M512" s="74"/>
      <c r="N512" s="74"/>
      <c r="O512" s="74"/>
      <c r="P512" s="74"/>
    </row>
    <row r="513" ht="15.75" customHeight="1">
      <c r="A513" s="5"/>
      <c r="B513" s="5"/>
      <c r="C513" s="5"/>
      <c r="D513" s="5"/>
      <c r="E513" s="5"/>
      <c r="F513" s="148"/>
      <c r="G513" s="9"/>
      <c r="H513" s="74"/>
      <c r="I513" s="74"/>
      <c r="J513" s="74"/>
      <c r="K513" s="74"/>
      <c r="L513" s="74"/>
      <c r="M513" s="74"/>
      <c r="N513" s="74"/>
      <c r="O513" s="74"/>
      <c r="P513" s="74"/>
    </row>
    <row r="514" ht="15.75" customHeight="1">
      <c r="A514" s="5"/>
      <c r="B514" s="5"/>
      <c r="C514" s="5"/>
      <c r="D514" s="5"/>
      <c r="E514" s="5"/>
      <c r="F514" s="148"/>
      <c r="G514" s="9"/>
      <c r="H514" s="74"/>
      <c r="I514" s="74"/>
      <c r="J514" s="74"/>
      <c r="K514" s="74"/>
      <c r="L514" s="74"/>
      <c r="M514" s="74"/>
      <c r="N514" s="74"/>
      <c r="O514" s="74"/>
      <c r="P514" s="74"/>
    </row>
    <row r="515" ht="15.75" customHeight="1">
      <c r="A515" s="5"/>
      <c r="B515" s="5"/>
      <c r="C515" s="5"/>
      <c r="D515" s="5"/>
      <c r="E515" s="5"/>
      <c r="F515" s="148"/>
      <c r="G515" s="9"/>
      <c r="H515" s="74"/>
      <c r="I515" s="74"/>
      <c r="J515" s="74"/>
      <c r="K515" s="74"/>
      <c r="L515" s="74"/>
      <c r="M515" s="74"/>
      <c r="N515" s="74"/>
      <c r="O515" s="74"/>
      <c r="P515" s="74"/>
    </row>
    <row r="516" ht="15.75" customHeight="1">
      <c r="A516" s="5"/>
      <c r="B516" s="5"/>
      <c r="C516" s="5"/>
      <c r="D516" s="5"/>
      <c r="E516" s="5"/>
      <c r="F516" s="148"/>
      <c r="G516" s="9"/>
      <c r="H516" s="74"/>
      <c r="I516" s="74"/>
      <c r="J516" s="74"/>
      <c r="K516" s="74"/>
      <c r="L516" s="74"/>
      <c r="M516" s="74"/>
      <c r="N516" s="74"/>
      <c r="O516" s="74"/>
      <c r="P516" s="74"/>
    </row>
    <row r="517" ht="15.75" customHeight="1">
      <c r="A517" s="5"/>
      <c r="B517" s="5"/>
      <c r="C517" s="5"/>
      <c r="D517" s="5"/>
      <c r="E517" s="5"/>
      <c r="F517" s="148"/>
      <c r="G517" s="9"/>
      <c r="H517" s="74"/>
      <c r="I517" s="74"/>
      <c r="J517" s="74"/>
      <c r="K517" s="74"/>
      <c r="L517" s="74"/>
      <c r="M517" s="74"/>
      <c r="N517" s="74"/>
      <c r="O517" s="74"/>
      <c r="P517" s="74"/>
    </row>
    <row r="518" ht="15.75" customHeight="1">
      <c r="A518" s="5"/>
      <c r="B518" s="5"/>
      <c r="C518" s="5"/>
      <c r="D518" s="5"/>
      <c r="E518" s="5"/>
      <c r="F518" s="148"/>
      <c r="G518" s="9"/>
      <c r="H518" s="74"/>
      <c r="I518" s="74"/>
      <c r="J518" s="74"/>
      <c r="K518" s="74"/>
      <c r="L518" s="74"/>
      <c r="M518" s="74"/>
      <c r="N518" s="74"/>
      <c r="O518" s="74"/>
      <c r="P518" s="74"/>
    </row>
    <row r="519" ht="15.75" customHeight="1">
      <c r="A519" s="5"/>
      <c r="B519" s="5"/>
      <c r="C519" s="5"/>
      <c r="D519" s="5"/>
      <c r="E519" s="5"/>
      <c r="F519" s="148"/>
      <c r="G519" s="9"/>
      <c r="H519" s="74"/>
      <c r="I519" s="74"/>
      <c r="J519" s="74"/>
      <c r="K519" s="74"/>
      <c r="L519" s="74"/>
      <c r="M519" s="74"/>
      <c r="N519" s="74"/>
      <c r="O519" s="74"/>
      <c r="P519" s="74"/>
    </row>
    <row r="520" ht="15.75" customHeight="1">
      <c r="A520" s="5"/>
      <c r="B520" s="5"/>
      <c r="C520" s="5"/>
      <c r="D520" s="5"/>
      <c r="E520" s="5"/>
      <c r="F520" s="148"/>
      <c r="G520" s="9"/>
      <c r="H520" s="74"/>
      <c r="I520" s="74"/>
      <c r="J520" s="74"/>
      <c r="K520" s="74"/>
      <c r="L520" s="74"/>
      <c r="M520" s="74"/>
      <c r="N520" s="74"/>
      <c r="O520" s="74"/>
      <c r="P520" s="74"/>
    </row>
    <row r="521" ht="15.75" customHeight="1">
      <c r="A521" s="5"/>
      <c r="B521" s="5"/>
      <c r="C521" s="5"/>
      <c r="D521" s="5"/>
      <c r="E521" s="5"/>
      <c r="F521" s="148"/>
      <c r="G521" s="9"/>
      <c r="H521" s="74"/>
      <c r="I521" s="74"/>
      <c r="J521" s="74"/>
      <c r="K521" s="74"/>
      <c r="L521" s="74"/>
      <c r="M521" s="74"/>
      <c r="N521" s="74"/>
      <c r="O521" s="74"/>
      <c r="P521" s="74"/>
    </row>
    <row r="522" ht="15.75" customHeight="1">
      <c r="A522" s="5"/>
      <c r="B522" s="5"/>
      <c r="C522" s="5"/>
      <c r="D522" s="5"/>
      <c r="E522" s="5"/>
      <c r="F522" s="148"/>
      <c r="G522" s="9"/>
      <c r="H522" s="74"/>
      <c r="I522" s="74"/>
      <c r="J522" s="74"/>
      <c r="K522" s="74"/>
      <c r="L522" s="74"/>
      <c r="M522" s="74"/>
      <c r="N522" s="74"/>
      <c r="O522" s="74"/>
      <c r="P522" s="74"/>
    </row>
    <row r="523" ht="15.75" customHeight="1">
      <c r="A523" s="5"/>
      <c r="B523" s="5"/>
      <c r="C523" s="5"/>
      <c r="D523" s="5"/>
      <c r="E523" s="5"/>
      <c r="F523" s="148"/>
      <c r="G523" s="9"/>
      <c r="H523" s="74"/>
      <c r="I523" s="74"/>
      <c r="J523" s="74"/>
      <c r="K523" s="74"/>
      <c r="L523" s="74"/>
      <c r="M523" s="74"/>
      <c r="N523" s="74"/>
      <c r="O523" s="74"/>
      <c r="P523" s="74"/>
    </row>
    <row r="524" ht="15.75" customHeight="1">
      <c r="A524" s="5"/>
      <c r="B524" s="5"/>
      <c r="C524" s="5"/>
      <c r="D524" s="5"/>
      <c r="E524" s="5"/>
      <c r="F524" s="148"/>
      <c r="G524" s="9"/>
      <c r="H524" s="74"/>
      <c r="I524" s="74"/>
      <c r="J524" s="74"/>
      <c r="K524" s="74"/>
      <c r="L524" s="74"/>
      <c r="M524" s="74"/>
      <c r="N524" s="74"/>
      <c r="O524" s="74"/>
      <c r="P524" s="74"/>
    </row>
    <row r="525" ht="15.75" customHeight="1">
      <c r="A525" s="5"/>
      <c r="B525" s="5"/>
      <c r="C525" s="5"/>
      <c r="D525" s="5"/>
      <c r="E525" s="5"/>
      <c r="F525" s="148"/>
      <c r="G525" s="9"/>
      <c r="H525" s="74"/>
      <c r="I525" s="74"/>
      <c r="J525" s="74"/>
      <c r="K525" s="74"/>
      <c r="L525" s="74"/>
      <c r="M525" s="74"/>
      <c r="N525" s="74"/>
      <c r="O525" s="74"/>
      <c r="P525" s="74"/>
    </row>
    <row r="526" ht="15.75" customHeight="1">
      <c r="A526" s="5"/>
      <c r="B526" s="5"/>
      <c r="C526" s="5"/>
      <c r="D526" s="5"/>
      <c r="E526" s="5"/>
      <c r="F526" s="148"/>
      <c r="G526" s="9"/>
      <c r="H526" s="74"/>
      <c r="I526" s="74"/>
      <c r="J526" s="74"/>
      <c r="K526" s="74"/>
      <c r="L526" s="74"/>
      <c r="M526" s="74"/>
      <c r="N526" s="74"/>
      <c r="O526" s="74"/>
      <c r="P526" s="74"/>
    </row>
    <row r="527" ht="15.75" customHeight="1">
      <c r="A527" s="5"/>
      <c r="B527" s="5"/>
      <c r="C527" s="5"/>
      <c r="D527" s="5"/>
      <c r="E527" s="5"/>
      <c r="F527" s="148"/>
      <c r="G527" s="9"/>
      <c r="H527" s="74"/>
      <c r="I527" s="74"/>
      <c r="J527" s="74"/>
      <c r="K527" s="74"/>
      <c r="L527" s="74"/>
      <c r="M527" s="74"/>
      <c r="N527" s="74"/>
      <c r="O527" s="74"/>
      <c r="P527" s="74"/>
    </row>
    <row r="528" ht="15.75" customHeight="1">
      <c r="A528" s="5"/>
      <c r="B528" s="5"/>
      <c r="C528" s="5"/>
      <c r="D528" s="5"/>
      <c r="E528" s="5"/>
      <c r="F528" s="148"/>
      <c r="G528" s="9"/>
      <c r="H528" s="74"/>
      <c r="I528" s="74"/>
      <c r="J528" s="74"/>
      <c r="K528" s="74"/>
      <c r="L528" s="74"/>
      <c r="M528" s="74"/>
      <c r="N528" s="74"/>
      <c r="O528" s="74"/>
      <c r="P528" s="74"/>
    </row>
    <row r="529" ht="15.75" customHeight="1">
      <c r="A529" s="5"/>
      <c r="B529" s="5"/>
      <c r="C529" s="5"/>
      <c r="D529" s="5"/>
      <c r="E529" s="5"/>
      <c r="F529" s="148"/>
      <c r="G529" s="9"/>
      <c r="H529" s="74"/>
      <c r="I529" s="74"/>
      <c r="J529" s="74"/>
      <c r="K529" s="74"/>
      <c r="L529" s="74"/>
      <c r="M529" s="74"/>
      <c r="N529" s="74"/>
      <c r="O529" s="74"/>
      <c r="P529" s="74"/>
    </row>
    <row r="530" ht="15.75" customHeight="1">
      <c r="A530" s="5"/>
      <c r="B530" s="5"/>
      <c r="C530" s="5"/>
      <c r="D530" s="5"/>
      <c r="E530" s="5"/>
      <c r="F530" s="148"/>
      <c r="G530" s="9"/>
      <c r="H530" s="74"/>
      <c r="I530" s="74"/>
      <c r="J530" s="74"/>
      <c r="K530" s="74"/>
      <c r="L530" s="74"/>
      <c r="M530" s="74"/>
      <c r="N530" s="74"/>
      <c r="O530" s="74"/>
      <c r="P530" s="74"/>
    </row>
    <row r="531" ht="15.75" customHeight="1">
      <c r="A531" s="5"/>
      <c r="B531" s="5"/>
      <c r="C531" s="5"/>
      <c r="D531" s="5"/>
      <c r="E531" s="5"/>
      <c r="F531" s="148"/>
      <c r="G531" s="9"/>
      <c r="H531" s="74"/>
      <c r="I531" s="74"/>
      <c r="J531" s="74"/>
      <c r="K531" s="74"/>
      <c r="L531" s="74"/>
      <c r="M531" s="74"/>
      <c r="N531" s="74"/>
      <c r="O531" s="74"/>
      <c r="P531" s="74"/>
    </row>
    <row r="532" ht="15.75" customHeight="1">
      <c r="A532" s="5"/>
      <c r="B532" s="5"/>
      <c r="C532" s="5"/>
      <c r="D532" s="5"/>
      <c r="E532" s="5"/>
      <c r="F532" s="148"/>
      <c r="G532" s="9"/>
      <c r="H532" s="74"/>
      <c r="I532" s="74"/>
      <c r="J532" s="74"/>
      <c r="K532" s="74"/>
      <c r="L532" s="74"/>
      <c r="M532" s="74"/>
      <c r="N532" s="74"/>
      <c r="O532" s="74"/>
      <c r="P532" s="74"/>
    </row>
  </sheetData>
  <mergeCells count="84">
    <mergeCell ref="D15:D16"/>
    <mergeCell ref="E15:E16"/>
    <mergeCell ref="D9:D10"/>
    <mergeCell ref="E9:E10"/>
    <mergeCell ref="C11:C16"/>
    <mergeCell ref="D11:D12"/>
    <mergeCell ref="E11:E12"/>
    <mergeCell ref="D13:D14"/>
    <mergeCell ref="E13:E14"/>
    <mergeCell ref="H15:H16"/>
    <mergeCell ref="H17:H18"/>
    <mergeCell ref="H25:H26"/>
    <mergeCell ref="I25:I26"/>
    <mergeCell ref="H27:H28"/>
    <mergeCell ref="I27:I28"/>
    <mergeCell ref="H29:H30"/>
    <mergeCell ref="I29:I30"/>
    <mergeCell ref="H9:H10"/>
    <mergeCell ref="I9:I10"/>
    <mergeCell ref="H11:H12"/>
    <mergeCell ref="I11:I12"/>
    <mergeCell ref="H13:H14"/>
    <mergeCell ref="I13:I14"/>
    <mergeCell ref="I15:I16"/>
    <mergeCell ref="I17:I18"/>
    <mergeCell ref="L17:L24"/>
    <mergeCell ref="M17:M24"/>
    <mergeCell ref="J19:J20"/>
    <mergeCell ref="J21:J22"/>
    <mergeCell ref="J23:J24"/>
    <mergeCell ref="J25:J26"/>
    <mergeCell ref="K25:K30"/>
    <mergeCell ref="L25:L30"/>
    <mergeCell ref="J11:J12"/>
    <mergeCell ref="J27:J28"/>
    <mergeCell ref="J5:J6"/>
    <mergeCell ref="L5:L10"/>
    <mergeCell ref="M5:M10"/>
    <mergeCell ref="N5:N30"/>
    <mergeCell ref="J7:J8"/>
    <mergeCell ref="J9:J10"/>
    <mergeCell ref="M25:M30"/>
    <mergeCell ref="J29:J30"/>
    <mergeCell ref="D23:D24"/>
    <mergeCell ref="E23:E24"/>
    <mergeCell ref="E25:E26"/>
    <mergeCell ref="E27:E28"/>
    <mergeCell ref="E29:E30"/>
    <mergeCell ref="C25:C30"/>
    <mergeCell ref="D25:D26"/>
    <mergeCell ref="D27:D28"/>
    <mergeCell ref="D29:D30"/>
    <mergeCell ref="D7:D8"/>
    <mergeCell ref="E7:E8"/>
    <mergeCell ref="C17:C24"/>
    <mergeCell ref="D17:D18"/>
    <mergeCell ref="E17:E18"/>
    <mergeCell ref="D19:D20"/>
    <mergeCell ref="E19:E20"/>
    <mergeCell ref="H7:H8"/>
    <mergeCell ref="I7:I8"/>
    <mergeCell ref="F2:G2"/>
    <mergeCell ref="C4:D4"/>
    <mergeCell ref="C5:C10"/>
    <mergeCell ref="D5:D6"/>
    <mergeCell ref="E5:E6"/>
    <mergeCell ref="H5:H6"/>
    <mergeCell ref="I5:I6"/>
    <mergeCell ref="K5:K10"/>
    <mergeCell ref="K11:K16"/>
    <mergeCell ref="L11:L16"/>
    <mergeCell ref="M11:M16"/>
    <mergeCell ref="J13:J14"/>
    <mergeCell ref="J15:J16"/>
    <mergeCell ref="J17:J18"/>
    <mergeCell ref="K17:K24"/>
    <mergeCell ref="H19:H20"/>
    <mergeCell ref="I19:I20"/>
    <mergeCell ref="H21:H22"/>
    <mergeCell ref="I21:I22"/>
    <mergeCell ref="H23:H24"/>
    <mergeCell ref="I23:I24"/>
    <mergeCell ref="D21:D22"/>
    <mergeCell ref="E21:E22"/>
  </mergeCells>
  <dataValidations>
    <dataValidation type="list" allowBlank="1" showErrorMessage="1" sqref="F2">
      <formula1>Menu!$A$1:$A$58</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pageSetUpPr fitToPage="1"/>
  </sheetPr>
  <sheetViews>
    <sheetView showGridLines="0" workbookViewId="0"/>
  </sheetViews>
  <sheetFormatPr customHeight="1" defaultColWidth="12.63" defaultRowHeight="15.0" outlineLevelCol="4"/>
  <cols>
    <col customWidth="1" min="1" max="1" width="2.75"/>
    <col customWidth="1" min="2" max="2" width="5.63"/>
    <col customWidth="1" min="3" max="3" width="4.63"/>
    <col customWidth="1" min="4" max="4" width="21.75"/>
    <col customWidth="1" min="5" max="5" width="5.13"/>
    <col customWidth="1" min="6" max="6" width="2.75"/>
    <col customWidth="1" min="7" max="8" width="12.75"/>
    <col customWidth="1" min="9" max="9" width="12.75" outlineLevel="1"/>
    <col customWidth="1" min="10" max="10" width="9.13" outlineLevel="2"/>
    <col customWidth="1" min="11" max="11" width="7.25" outlineLevel="3"/>
    <col customWidth="1" min="12" max="15" width="7.63" outlineLevel="4"/>
    <col collapsed="1" customWidth="1" min="16" max="16" width="7.63" outlineLevel="3"/>
    <col customWidth="1" hidden="1" min="17" max="20" width="7.63" outlineLevel="4"/>
    <col collapsed="1" customWidth="1" min="21" max="21" width="7.63" outlineLevel="3"/>
    <col customWidth="1" hidden="1" min="22" max="25" width="7.63" outlineLevel="4"/>
    <col collapsed="1" customWidth="1" min="26" max="26" width="9.5" outlineLevel="2"/>
    <col collapsed="1" customWidth="1" hidden="1" min="27" max="27" width="7.63" outlineLevel="3"/>
    <col customWidth="1" hidden="1" min="28" max="31" width="7.63" outlineLevel="4"/>
    <col collapsed="1" customWidth="1" hidden="1" min="32" max="32" width="7.63" outlineLevel="3"/>
    <col customWidth="1" hidden="1" min="33" max="36" width="7.63" outlineLevel="4"/>
    <col collapsed="1" customWidth="1" hidden="1" min="37" max="37" width="7.63" outlineLevel="3"/>
    <col customWidth="1" hidden="1" min="38" max="41" width="7.63" outlineLevel="4"/>
    <col collapsed="1" customWidth="1" min="42" max="42" width="12.75" outlineLevel="1"/>
    <col collapsed="1" customWidth="1" hidden="1" min="43" max="43" width="9.13" outlineLevel="2"/>
    <col collapsed="1" customWidth="1" hidden="1" min="44" max="44" width="6.38" outlineLevel="3"/>
    <col customWidth="1" hidden="1" min="45" max="48" width="7.63" outlineLevel="4"/>
    <col collapsed="1" customWidth="1" hidden="1" min="49" max="49" width="7.63" outlineLevel="3"/>
    <col customWidth="1" hidden="1" min="50" max="53" width="7.63" outlineLevel="4"/>
    <col collapsed="1" customWidth="1" hidden="1" min="54" max="54" width="7.63" outlineLevel="3"/>
    <col customWidth="1" hidden="1" min="55" max="58" width="7.63" outlineLevel="4"/>
    <col collapsed="1" customWidth="1" hidden="1" min="59" max="59" width="9.5" outlineLevel="2"/>
    <col collapsed="1" customWidth="1" hidden="1" min="60" max="60" width="7.63" outlineLevel="3"/>
    <col customWidth="1" hidden="1" min="61" max="64" width="7.63" outlineLevel="4"/>
    <col collapsed="1" customWidth="1" hidden="1" min="65" max="65" width="7.63" outlineLevel="3"/>
    <col customWidth="1" hidden="1" min="66" max="69" width="7.63" outlineLevel="4"/>
    <col collapsed="1" customWidth="1" hidden="1" min="70" max="70" width="7.63" outlineLevel="3"/>
    <col customWidth="1" hidden="1" min="71" max="74" width="7.63" outlineLevel="4"/>
    <col collapsed="1" customWidth="1" min="75" max="75" width="12.75"/>
    <col collapsed="1" customWidth="1" hidden="1" min="76" max="76" width="12.75" outlineLevel="1"/>
    <col collapsed="1" customWidth="1" hidden="1" min="77" max="77" width="9.13" outlineLevel="2"/>
    <col collapsed="1" customWidth="1" hidden="1" min="78" max="78" width="6.38" outlineLevel="3"/>
    <col customWidth="1" hidden="1" min="79" max="82" width="7.63" outlineLevel="4"/>
    <col collapsed="1" customWidth="1" hidden="1" min="83" max="83" width="7.63" outlineLevel="3"/>
    <col customWidth="1" hidden="1" min="84" max="87" width="7.63" outlineLevel="4"/>
    <col collapsed="1" customWidth="1" hidden="1" min="88" max="88" width="7.63" outlineLevel="3"/>
    <col customWidth="1" hidden="1" min="89" max="92" width="7.63" outlineLevel="4"/>
    <col collapsed="1" customWidth="1" hidden="1" min="93" max="93" width="9.5" outlineLevel="2"/>
    <col collapsed="1" customWidth="1" hidden="1" min="94" max="94" width="7.63" outlineLevel="3"/>
    <col customWidth="1" hidden="1" min="95" max="98" width="7.63" outlineLevel="4"/>
    <col collapsed="1" customWidth="1" hidden="1" min="99" max="99" width="7.63" outlineLevel="3"/>
    <col customWidth="1" hidden="1" min="100" max="103" width="7.63" outlineLevel="4"/>
    <col collapsed="1" customWidth="1" hidden="1" min="104" max="104" width="7.63" outlineLevel="3"/>
    <col customWidth="1" hidden="1" min="105" max="108" width="7.63" outlineLevel="4"/>
    <col collapsed="1" customWidth="1" hidden="1" min="109" max="109" width="12.75" outlineLevel="1"/>
    <col collapsed="1" customWidth="1" hidden="1" min="110" max="110" width="9.13" outlineLevel="2"/>
    <col collapsed="1" customWidth="1" hidden="1" min="111" max="111" width="6.38" outlineLevel="3"/>
    <col customWidth="1" hidden="1" min="112" max="115" width="7.63" outlineLevel="4"/>
    <col collapsed="1" customWidth="1" hidden="1" min="116" max="116" width="7.63" outlineLevel="3"/>
    <col customWidth="1" hidden="1" min="117" max="120" width="7.63" outlineLevel="4"/>
    <col collapsed="1" customWidth="1" hidden="1" min="121" max="121" width="7.63" outlineLevel="3"/>
    <col customWidth="1" hidden="1" min="122" max="125" width="7.63" outlineLevel="4"/>
    <col collapsed="1" customWidth="1" hidden="1" min="126" max="126" width="9.5" outlineLevel="2"/>
    <col collapsed="1" customWidth="1" hidden="1" min="127" max="127" width="7.63" outlineLevel="3"/>
    <col customWidth="1" hidden="1" min="128" max="131" width="7.63" outlineLevel="4"/>
    <col collapsed="1" customWidth="1" hidden="1" min="132" max="132" width="7.63" outlineLevel="3"/>
    <col customWidth="1" hidden="1" min="133" max="136" width="7.63" outlineLevel="4"/>
    <col collapsed="1" customWidth="1" hidden="1" min="137" max="137" width="7.63" outlineLevel="3"/>
    <col customWidth="1" hidden="1" min="138" max="141" width="7.63" outlineLevel="4"/>
    <col collapsed="1" customWidth="1" min="142" max="142" width="12.75"/>
    <col collapsed="1" customWidth="1" hidden="1" min="143" max="143" width="12.75" outlineLevel="1"/>
    <col collapsed="1" customWidth="1" hidden="1" min="144" max="144" width="9.13" outlineLevel="2"/>
    <col collapsed="1" customWidth="1" hidden="1" min="145" max="145" width="6.38" outlineLevel="3"/>
    <col customWidth="1" hidden="1" min="146" max="149" width="7.63" outlineLevel="4"/>
    <col collapsed="1" customWidth="1" hidden="1" min="150" max="150" width="7.63" outlineLevel="3"/>
    <col customWidth="1" hidden="1" min="151" max="154" width="7.63" outlineLevel="4"/>
    <col collapsed="1" customWidth="1" hidden="1" min="155" max="155" width="7.63" outlineLevel="3"/>
    <col customWidth="1" hidden="1" min="156" max="159" width="7.63" outlineLevel="4"/>
    <col collapsed="1" customWidth="1" hidden="1" min="160" max="160" width="9.5" outlineLevel="2"/>
    <col collapsed="1" customWidth="1" hidden="1" min="161" max="161" width="7.63" outlineLevel="3"/>
    <col customWidth="1" hidden="1" min="162" max="165" width="7.63" outlineLevel="4"/>
    <col collapsed="1" customWidth="1" hidden="1" min="166" max="166" width="7.63" outlineLevel="3"/>
    <col customWidth="1" hidden="1" min="167" max="170" width="7.63" outlineLevel="4"/>
    <col collapsed="1" customWidth="1" hidden="1" min="171" max="171" width="7.63" outlineLevel="3"/>
    <col customWidth="1" hidden="1" min="172" max="175" width="7.63" outlineLevel="4"/>
    <col collapsed="1" customWidth="1" hidden="1" min="176" max="176" width="12.75" outlineLevel="1"/>
    <col collapsed="1" customWidth="1" hidden="1" min="177" max="177" width="9.13" outlineLevel="2"/>
    <col collapsed="1" customWidth="1" hidden="1" min="178" max="178" width="6.38" outlineLevel="3"/>
    <col customWidth="1" hidden="1" min="179" max="182" width="7.63" outlineLevel="4"/>
    <col collapsed="1" customWidth="1" hidden="1" min="183" max="183" width="7.63" outlineLevel="3"/>
    <col customWidth="1" hidden="1" min="184" max="187" width="7.63" outlineLevel="4"/>
    <col collapsed="1" customWidth="1" hidden="1" min="188" max="188" width="7.63" outlineLevel="3"/>
    <col customWidth="1" hidden="1" min="189" max="192" width="7.63" outlineLevel="4"/>
    <col collapsed="1" customWidth="1" hidden="1" min="193" max="193" width="9.5" outlineLevel="2"/>
    <col collapsed="1" customWidth="1" hidden="1" min="194" max="194" width="7.63" outlineLevel="3"/>
    <col customWidth="1" hidden="1" min="195" max="198" width="7.63" outlineLevel="4"/>
    <col collapsed="1" customWidth="1" hidden="1" min="199" max="199" width="7.63" outlineLevel="3"/>
    <col customWidth="1" hidden="1" min="200" max="203" width="7.63" outlineLevel="4"/>
    <col collapsed="1" customWidth="1" hidden="1" min="204" max="204" width="7.63" outlineLevel="3"/>
    <col customWidth="1" hidden="1" min="205" max="208" width="10.0" outlineLevel="4"/>
    <col customWidth="1" min="209" max="210" width="7.63"/>
  </cols>
  <sheetData>
    <row r="1" ht="15.75" customHeight="1">
      <c r="A1" s="13"/>
      <c r="B1" s="13"/>
      <c r="C1" s="13"/>
      <c r="D1" s="13"/>
      <c r="E1" s="13"/>
      <c r="F1" s="15"/>
      <c r="G1" s="13"/>
      <c r="H1" s="13"/>
      <c r="I1" s="13"/>
      <c r="J1" s="13"/>
      <c r="K1" s="13"/>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3"/>
      <c r="AM1" s="13"/>
      <c r="AN1" s="13"/>
      <c r="AO1" s="13"/>
      <c r="AP1" s="13"/>
      <c r="AQ1" s="13"/>
      <c r="AR1" s="13"/>
      <c r="AS1" s="18"/>
      <c r="AT1" s="18"/>
      <c r="AU1" s="18"/>
      <c r="AV1" s="18"/>
      <c r="AW1" s="18"/>
      <c r="AX1" s="18"/>
      <c r="AY1" s="18"/>
      <c r="AZ1" s="18"/>
      <c r="BA1" s="18"/>
      <c r="BB1" s="18"/>
      <c r="BC1" s="18"/>
      <c r="BD1" s="18"/>
      <c r="BE1" s="18"/>
      <c r="BF1" s="18"/>
      <c r="BG1" s="18"/>
      <c r="BH1" s="18"/>
      <c r="BI1" s="18"/>
      <c r="BJ1" s="18"/>
      <c r="BK1" s="18"/>
      <c r="BL1" s="18"/>
      <c r="BM1" s="18"/>
      <c r="BN1" s="18"/>
      <c r="BO1" s="18"/>
      <c r="BP1" s="18"/>
      <c r="BQ1" s="18"/>
      <c r="BR1" s="18"/>
      <c r="BS1" s="13"/>
      <c r="BT1" s="13"/>
      <c r="BU1" s="13"/>
      <c r="BV1" s="13"/>
      <c r="BW1" s="13"/>
      <c r="BX1" s="13"/>
      <c r="BY1" s="13"/>
      <c r="BZ1" s="13"/>
      <c r="CA1" s="18"/>
      <c r="CB1" s="18"/>
      <c r="CC1" s="18"/>
      <c r="CD1" s="18"/>
      <c r="CE1" s="18"/>
      <c r="CF1" s="18"/>
      <c r="CG1" s="18"/>
      <c r="CH1" s="18"/>
      <c r="CI1" s="18"/>
      <c r="CJ1" s="18"/>
      <c r="CK1" s="18"/>
      <c r="CL1" s="18"/>
      <c r="CM1" s="18"/>
      <c r="CN1" s="18"/>
      <c r="CO1" s="18"/>
      <c r="CP1" s="18"/>
      <c r="CQ1" s="18"/>
      <c r="CR1" s="18"/>
      <c r="CS1" s="18"/>
      <c r="CT1" s="18"/>
      <c r="CU1" s="18"/>
      <c r="CV1" s="18"/>
      <c r="CW1" s="18"/>
      <c r="CX1" s="18"/>
      <c r="CY1" s="18"/>
      <c r="CZ1" s="18"/>
      <c r="DA1" s="13"/>
      <c r="DB1" s="13"/>
      <c r="DC1" s="13"/>
      <c r="DD1" s="13"/>
      <c r="DE1" s="13"/>
      <c r="DF1" s="13"/>
      <c r="DG1" s="13"/>
      <c r="DH1" s="18"/>
      <c r="DI1" s="18"/>
      <c r="DJ1" s="18"/>
      <c r="DK1" s="18"/>
      <c r="DL1" s="18"/>
      <c r="DM1" s="18"/>
      <c r="DN1" s="18"/>
      <c r="DO1" s="18"/>
      <c r="DP1" s="18"/>
      <c r="DQ1" s="18"/>
      <c r="DR1" s="18"/>
      <c r="DS1" s="18"/>
      <c r="DT1" s="18"/>
      <c r="DU1" s="18"/>
      <c r="DV1" s="18"/>
      <c r="DW1" s="18"/>
      <c r="DX1" s="18"/>
      <c r="DY1" s="18"/>
      <c r="DZ1" s="18"/>
      <c r="EA1" s="18"/>
      <c r="EB1" s="18"/>
      <c r="EC1" s="18"/>
      <c r="ED1" s="18"/>
      <c r="EE1" s="18"/>
      <c r="EF1" s="18"/>
      <c r="EG1" s="18"/>
      <c r="EH1" s="13"/>
      <c r="EI1" s="13"/>
      <c r="EJ1" s="13"/>
      <c r="EK1" s="13"/>
      <c r="EL1" s="13"/>
      <c r="EM1" s="13"/>
      <c r="EN1" s="13"/>
      <c r="EO1" s="13"/>
      <c r="EP1" s="18"/>
      <c r="EQ1" s="18"/>
      <c r="ER1" s="18"/>
      <c r="ES1" s="18"/>
      <c r="ET1" s="18"/>
      <c r="EU1" s="18"/>
      <c r="EV1" s="18"/>
      <c r="EW1" s="18"/>
      <c r="EX1" s="18"/>
      <c r="EY1" s="18"/>
      <c r="EZ1" s="18"/>
      <c r="FA1" s="18"/>
      <c r="FB1" s="18"/>
      <c r="FC1" s="18"/>
      <c r="FD1" s="18"/>
      <c r="FE1" s="18"/>
      <c r="FF1" s="18"/>
      <c r="FG1" s="18"/>
      <c r="FH1" s="18"/>
      <c r="FI1" s="18"/>
      <c r="FJ1" s="18"/>
      <c r="FK1" s="18"/>
      <c r="FL1" s="18"/>
      <c r="FM1" s="18"/>
      <c r="FN1" s="18"/>
      <c r="FO1" s="18"/>
      <c r="FP1" s="13"/>
      <c r="FQ1" s="13"/>
      <c r="FR1" s="13"/>
      <c r="FS1" s="13"/>
      <c r="FT1" s="13"/>
      <c r="FU1" s="13"/>
      <c r="FV1" s="13"/>
      <c r="FW1" s="18"/>
      <c r="FX1" s="18"/>
      <c r="FY1" s="18"/>
      <c r="FZ1" s="18"/>
      <c r="GA1" s="18"/>
      <c r="GB1" s="18"/>
      <c r="GC1" s="18"/>
      <c r="GD1" s="18"/>
      <c r="GE1" s="18"/>
      <c r="GF1" s="18"/>
      <c r="GG1" s="18"/>
      <c r="GH1" s="18"/>
      <c r="GI1" s="18"/>
      <c r="GJ1" s="18"/>
      <c r="GK1" s="18"/>
      <c r="GL1" s="18"/>
      <c r="GM1" s="18"/>
      <c r="GN1" s="18"/>
      <c r="GO1" s="18"/>
      <c r="GP1" s="18"/>
      <c r="GQ1" s="18"/>
      <c r="GR1" s="18"/>
      <c r="GS1" s="18"/>
      <c r="GT1" s="18"/>
      <c r="GU1" s="18"/>
      <c r="GV1" s="18"/>
      <c r="GW1" s="13"/>
      <c r="GX1" s="13"/>
      <c r="GY1" s="13"/>
      <c r="GZ1" s="13"/>
      <c r="HA1" s="15"/>
      <c r="HB1" s="15"/>
    </row>
    <row r="2" ht="15.75" customHeight="1">
      <c r="A2" s="13"/>
      <c r="B2" s="56"/>
      <c r="C2" s="56"/>
      <c r="D2" s="56"/>
      <c r="E2" s="57"/>
      <c r="F2" s="15"/>
      <c r="G2" s="61" t="s">
        <v>20</v>
      </c>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c r="BN2" s="63"/>
      <c r="BO2" s="63"/>
      <c r="BP2" s="63"/>
      <c r="BQ2" s="63"/>
      <c r="BR2" s="63"/>
      <c r="BS2" s="63"/>
      <c r="BT2" s="63"/>
      <c r="BU2" s="63"/>
      <c r="BV2" s="63"/>
      <c r="BW2" s="63"/>
      <c r="BX2" s="63"/>
      <c r="BY2" s="63"/>
      <c r="BZ2" s="63"/>
      <c r="CA2" s="63"/>
      <c r="CB2" s="63"/>
      <c r="CC2" s="63"/>
      <c r="CD2" s="63"/>
      <c r="CE2" s="63"/>
      <c r="CF2" s="63"/>
      <c r="CG2" s="63"/>
      <c r="CH2" s="63"/>
      <c r="CI2" s="63"/>
      <c r="CJ2" s="63"/>
      <c r="CK2" s="63"/>
      <c r="CL2" s="63"/>
      <c r="CM2" s="63"/>
      <c r="CN2" s="63"/>
      <c r="CO2" s="63"/>
      <c r="CP2" s="63"/>
      <c r="CQ2" s="63"/>
      <c r="CR2" s="63"/>
      <c r="CS2" s="63"/>
      <c r="CT2" s="63"/>
      <c r="CU2" s="63"/>
      <c r="CV2" s="63"/>
      <c r="CW2" s="63"/>
      <c r="CX2" s="63"/>
      <c r="CY2" s="63"/>
      <c r="CZ2" s="63"/>
      <c r="DA2" s="63"/>
      <c r="DB2" s="63"/>
      <c r="DC2" s="63"/>
      <c r="DD2" s="63"/>
      <c r="DE2" s="63"/>
      <c r="DF2" s="63"/>
      <c r="DG2" s="63"/>
      <c r="DH2" s="63"/>
      <c r="DI2" s="63"/>
      <c r="DJ2" s="63"/>
      <c r="DK2" s="63"/>
      <c r="DL2" s="63"/>
      <c r="DM2" s="63"/>
      <c r="DN2" s="63"/>
      <c r="DO2" s="63"/>
      <c r="DP2" s="63"/>
      <c r="DQ2" s="63"/>
      <c r="DR2" s="63"/>
      <c r="DS2" s="63"/>
      <c r="DT2" s="63"/>
      <c r="DU2" s="63"/>
      <c r="DV2" s="63"/>
      <c r="DW2" s="63"/>
      <c r="DX2" s="63"/>
      <c r="DY2" s="63"/>
      <c r="DZ2" s="63"/>
      <c r="EA2" s="63"/>
      <c r="EB2" s="63"/>
      <c r="EC2" s="63"/>
      <c r="ED2" s="63"/>
      <c r="EE2" s="63"/>
      <c r="EF2" s="63"/>
      <c r="EG2" s="63"/>
      <c r="EH2" s="63"/>
      <c r="EI2" s="63"/>
      <c r="EJ2" s="63"/>
      <c r="EK2" s="63"/>
      <c r="EL2" s="63"/>
      <c r="EM2" s="63"/>
      <c r="EN2" s="63"/>
      <c r="EO2" s="63"/>
      <c r="EP2" s="63"/>
      <c r="EQ2" s="63"/>
      <c r="ER2" s="63"/>
      <c r="ES2" s="63"/>
      <c r="ET2" s="63"/>
      <c r="EU2" s="63"/>
      <c r="EV2" s="63"/>
      <c r="EW2" s="63"/>
      <c r="EX2" s="63"/>
      <c r="EY2" s="63"/>
      <c r="EZ2" s="63"/>
      <c r="FA2" s="63"/>
      <c r="FB2" s="63"/>
      <c r="FC2" s="63"/>
      <c r="FD2" s="63"/>
      <c r="FE2" s="63"/>
      <c r="FF2" s="63"/>
      <c r="FG2" s="63"/>
      <c r="FH2" s="63"/>
      <c r="FI2" s="63"/>
      <c r="FJ2" s="63"/>
      <c r="FK2" s="63"/>
      <c r="FL2" s="63"/>
      <c r="FM2" s="63"/>
      <c r="FN2" s="63"/>
      <c r="FO2" s="63"/>
      <c r="FP2" s="63"/>
      <c r="FQ2" s="63"/>
      <c r="FR2" s="63"/>
      <c r="FS2" s="63"/>
      <c r="FT2" s="63"/>
      <c r="FU2" s="63"/>
      <c r="FV2" s="63"/>
      <c r="FW2" s="63"/>
      <c r="FX2" s="63"/>
      <c r="FY2" s="63"/>
      <c r="FZ2" s="63"/>
      <c r="GA2" s="63"/>
      <c r="GB2" s="63"/>
      <c r="GC2" s="63"/>
      <c r="GD2" s="63"/>
      <c r="GE2" s="63"/>
      <c r="GF2" s="63"/>
      <c r="GG2" s="63"/>
      <c r="GH2" s="63"/>
      <c r="GI2" s="63"/>
      <c r="GJ2" s="63"/>
      <c r="GK2" s="63"/>
      <c r="GL2" s="63"/>
      <c r="GM2" s="63"/>
      <c r="GN2" s="63"/>
      <c r="GO2" s="63"/>
      <c r="GP2" s="63"/>
      <c r="GQ2" s="63"/>
      <c r="GR2" s="63"/>
      <c r="GS2" s="63"/>
      <c r="GT2" s="63"/>
      <c r="GU2" s="63"/>
      <c r="GV2" s="63"/>
      <c r="GW2" s="63"/>
      <c r="GX2" s="63"/>
      <c r="GY2" s="63"/>
      <c r="GZ2" s="66"/>
      <c r="HA2" s="15"/>
      <c r="HB2" s="15"/>
    </row>
    <row r="3" ht="15.75" customHeight="1">
      <c r="A3" s="13"/>
      <c r="B3" s="56"/>
      <c r="C3" s="56"/>
      <c r="D3" s="56"/>
      <c r="E3" s="57"/>
      <c r="F3" s="15"/>
      <c r="G3" s="86" t="s">
        <v>10</v>
      </c>
      <c r="H3" s="90" t="s">
        <v>39</v>
      </c>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c r="BN3" s="63"/>
      <c r="BO3" s="63"/>
      <c r="BP3" s="63"/>
      <c r="BQ3" s="63"/>
      <c r="BR3" s="63"/>
      <c r="BS3" s="63"/>
      <c r="BT3" s="63"/>
      <c r="BU3" s="63"/>
      <c r="BV3" s="66"/>
      <c r="BW3" s="90" t="s">
        <v>41</v>
      </c>
      <c r="BX3" s="63"/>
      <c r="BY3" s="63"/>
      <c r="BZ3" s="63"/>
      <c r="CA3" s="63"/>
      <c r="CB3" s="63"/>
      <c r="CC3" s="63"/>
      <c r="CD3" s="63"/>
      <c r="CE3" s="63"/>
      <c r="CF3" s="63"/>
      <c r="CG3" s="63"/>
      <c r="CH3" s="63"/>
      <c r="CI3" s="63"/>
      <c r="CJ3" s="63"/>
      <c r="CK3" s="63"/>
      <c r="CL3" s="63"/>
      <c r="CM3" s="63"/>
      <c r="CN3" s="63"/>
      <c r="CO3" s="63"/>
      <c r="CP3" s="63"/>
      <c r="CQ3" s="63"/>
      <c r="CR3" s="63"/>
      <c r="CS3" s="63"/>
      <c r="CT3" s="63"/>
      <c r="CU3" s="63"/>
      <c r="CV3" s="63"/>
      <c r="CW3" s="63"/>
      <c r="CX3" s="63"/>
      <c r="CY3" s="63"/>
      <c r="CZ3" s="63"/>
      <c r="DA3" s="63"/>
      <c r="DB3" s="63"/>
      <c r="DC3" s="63"/>
      <c r="DD3" s="63"/>
      <c r="DE3" s="63"/>
      <c r="DF3" s="63"/>
      <c r="DG3" s="63"/>
      <c r="DH3" s="63"/>
      <c r="DI3" s="63"/>
      <c r="DJ3" s="63"/>
      <c r="DK3" s="63"/>
      <c r="DL3" s="63"/>
      <c r="DM3" s="63"/>
      <c r="DN3" s="63"/>
      <c r="DO3" s="63"/>
      <c r="DP3" s="63"/>
      <c r="DQ3" s="63"/>
      <c r="DR3" s="63"/>
      <c r="DS3" s="63"/>
      <c r="DT3" s="63"/>
      <c r="DU3" s="63"/>
      <c r="DV3" s="63"/>
      <c r="DW3" s="63"/>
      <c r="DX3" s="63"/>
      <c r="DY3" s="63"/>
      <c r="DZ3" s="63"/>
      <c r="EA3" s="63"/>
      <c r="EB3" s="63"/>
      <c r="EC3" s="63"/>
      <c r="ED3" s="63"/>
      <c r="EE3" s="63"/>
      <c r="EF3" s="63"/>
      <c r="EG3" s="63"/>
      <c r="EH3" s="63"/>
      <c r="EI3" s="63"/>
      <c r="EJ3" s="63"/>
      <c r="EK3" s="66"/>
      <c r="EL3" s="90" t="s">
        <v>43</v>
      </c>
      <c r="EM3" s="63"/>
      <c r="EN3" s="63"/>
      <c r="EO3" s="63"/>
      <c r="EP3" s="63"/>
      <c r="EQ3" s="63"/>
      <c r="ER3" s="63"/>
      <c r="ES3" s="63"/>
      <c r="ET3" s="63"/>
      <c r="EU3" s="63"/>
      <c r="EV3" s="63"/>
      <c r="EW3" s="63"/>
      <c r="EX3" s="63"/>
      <c r="EY3" s="63"/>
      <c r="EZ3" s="63"/>
      <c r="FA3" s="63"/>
      <c r="FB3" s="63"/>
      <c r="FC3" s="63"/>
      <c r="FD3" s="63"/>
      <c r="FE3" s="63"/>
      <c r="FF3" s="63"/>
      <c r="FG3" s="63"/>
      <c r="FH3" s="63"/>
      <c r="FI3" s="63"/>
      <c r="FJ3" s="63"/>
      <c r="FK3" s="63"/>
      <c r="FL3" s="63"/>
      <c r="FM3" s="63"/>
      <c r="FN3" s="63"/>
      <c r="FO3" s="63"/>
      <c r="FP3" s="63"/>
      <c r="FQ3" s="63"/>
      <c r="FR3" s="63"/>
      <c r="FS3" s="63"/>
      <c r="FT3" s="63"/>
      <c r="FU3" s="63"/>
      <c r="FV3" s="63"/>
      <c r="FW3" s="63"/>
      <c r="FX3" s="63"/>
      <c r="FY3" s="63"/>
      <c r="FZ3" s="63"/>
      <c r="GA3" s="63"/>
      <c r="GB3" s="63"/>
      <c r="GC3" s="63"/>
      <c r="GD3" s="63"/>
      <c r="GE3" s="63"/>
      <c r="GF3" s="63"/>
      <c r="GG3" s="63"/>
      <c r="GH3" s="63"/>
      <c r="GI3" s="63"/>
      <c r="GJ3" s="63"/>
      <c r="GK3" s="63"/>
      <c r="GL3" s="63"/>
      <c r="GM3" s="63"/>
      <c r="GN3" s="63"/>
      <c r="GO3" s="63"/>
      <c r="GP3" s="63"/>
      <c r="GQ3" s="63"/>
      <c r="GR3" s="63"/>
      <c r="GS3" s="63"/>
      <c r="GT3" s="63"/>
      <c r="GU3" s="63"/>
      <c r="GV3" s="63"/>
      <c r="GW3" s="63"/>
      <c r="GX3" s="63"/>
      <c r="GY3" s="63"/>
      <c r="GZ3" s="66"/>
      <c r="HA3" s="15"/>
      <c r="HB3" s="15"/>
    </row>
    <row r="4" ht="15.75" customHeight="1">
      <c r="A4" s="13"/>
      <c r="B4" s="56"/>
      <c r="C4" s="56"/>
      <c r="D4" s="56"/>
      <c r="E4" s="57"/>
      <c r="F4" s="15"/>
      <c r="G4" s="82"/>
      <c r="H4" s="109" t="s">
        <v>10</v>
      </c>
      <c r="I4" s="110" t="s">
        <v>45</v>
      </c>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6"/>
      <c r="AP4" s="110" t="s">
        <v>47</v>
      </c>
      <c r="AQ4" s="63"/>
      <c r="AR4" s="63"/>
      <c r="AS4" s="63"/>
      <c r="AT4" s="63"/>
      <c r="AU4" s="63"/>
      <c r="AV4" s="63"/>
      <c r="AW4" s="63"/>
      <c r="AX4" s="63"/>
      <c r="AY4" s="63"/>
      <c r="AZ4" s="63"/>
      <c r="BA4" s="63"/>
      <c r="BB4" s="63"/>
      <c r="BC4" s="63"/>
      <c r="BD4" s="63"/>
      <c r="BE4" s="63"/>
      <c r="BF4" s="63"/>
      <c r="BG4" s="63"/>
      <c r="BH4" s="63"/>
      <c r="BI4" s="63"/>
      <c r="BJ4" s="63"/>
      <c r="BK4" s="63"/>
      <c r="BL4" s="63"/>
      <c r="BM4" s="63"/>
      <c r="BN4" s="63"/>
      <c r="BO4" s="63"/>
      <c r="BP4" s="63"/>
      <c r="BQ4" s="63"/>
      <c r="BR4" s="63"/>
      <c r="BS4" s="63"/>
      <c r="BT4" s="63"/>
      <c r="BU4" s="63"/>
      <c r="BV4" s="66"/>
      <c r="BW4" s="109" t="s">
        <v>10</v>
      </c>
      <c r="BX4" s="110" t="s">
        <v>48</v>
      </c>
      <c r="BY4" s="63"/>
      <c r="BZ4" s="63"/>
      <c r="CA4" s="63"/>
      <c r="CB4" s="63"/>
      <c r="CC4" s="63"/>
      <c r="CD4" s="63"/>
      <c r="CE4" s="63"/>
      <c r="CF4" s="63"/>
      <c r="CG4" s="63"/>
      <c r="CH4" s="63"/>
      <c r="CI4" s="63"/>
      <c r="CJ4" s="63"/>
      <c r="CK4" s="63"/>
      <c r="CL4" s="63"/>
      <c r="CM4" s="63"/>
      <c r="CN4" s="63"/>
      <c r="CO4" s="63"/>
      <c r="CP4" s="63"/>
      <c r="CQ4" s="63"/>
      <c r="CR4" s="63"/>
      <c r="CS4" s="63"/>
      <c r="CT4" s="63"/>
      <c r="CU4" s="63"/>
      <c r="CV4" s="63"/>
      <c r="CW4" s="63"/>
      <c r="CX4" s="63"/>
      <c r="CY4" s="63"/>
      <c r="CZ4" s="63"/>
      <c r="DA4" s="63"/>
      <c r="DB4" s="63"/>
      <c r="DC4" s="63"/>
      <c r="DD4" s="66"/>
      <c r="DE4" s="110" t="s">
        <v>49</v>
      </c>
      <c r="DF4" s="63"/>
      <c r="DG4" s="63"/>
      <c r="DH4" s="63"/>
      <c r="DI4" s="63"/>
      <c r="DJ4" s="63"/>
      <c r="DK4" s="63"/>
      <c r="DL4" s="63"/>
      <c r="DM4" s="63"/>
      <c r="DN4" s="63"/>
      <c r="DO4" s="63"/>
      <c r="DP4" s="63"/>
      <c r="DQ4" s="63"/>
      <c r="DR4" s="63"/>
      <c r="DS4" s="63"/>
      <c r="DT4" s="63"/>
      <c r="DU4" s="63"/>
      <c r="DV4" s="63"/>
      <c r="DW4" s="63"/>
      <c r="DX4" s="63"/>
      <c r="DY4" s="63"/>
      <c r="DZ4" s="63"/>
      <c r="EA4" s="63"/>
      <c r="EB4" s="63"/>
      <c r="EC4" s="63"/>
      <c r="ED4" s="63"/>
      <c r="EE4" s="63"/>
      <c r="EF4" s="63"/>
      <c r="EG4" s="63"/>
      <c r="EH4" s="63"/>
      <c r="EI4" s="63"/>
      <c r="EJ4" s="63"/>
      <c r="EK4" s="66"/>
      <c r="EL4" s="109" t="s">
        <v>10</v>
      </c>
      <c r="EM4" s="110" t="s">
        <v>50</v>
      </c>
      <c r="EN4" s="63"/>
      <c r="EO4" s="63"/>
      <c r="EP4" s="63"/>
      <c r="EQ4" s="63"/>
      <c r="ER4" s="63"/>
      <c r="ES4" s="63"/>
      <c r="ET4" s="63"/>
      <c r="EU4" s="63"/>
      <c r="EV4" s="63"/>
      <c r="EW4" s="63"/>
      <c r="EX4" s="63"/>
      <c r="EY4" s="63"/>
      <c r="EZ4" s="63"/>
      <c r="FA4" s="63"/>
      <c r="FB4" s="63"/>
      <c r="FC4" s="63"/>
      <c r="FD4" s="63"/>
      <c r="FE4" s="63"/>
      <c r="FF4" s="63"/>
      <c r="FG4" s="63"/>
      <c r="FH4" s="63"/>
      <c r="FI4" s="63"/>
      <c r="FJ4" s="63"/>
      <c r="FK4" s="63"/>
      <c r="FL4" s="63"/>
      <c r="FM4" s="63"/>
      <c r="FN4" s="63"/>
      <c r="FO4" s="63"/>
      <c r="FP4" s="63"/>
      <c r="FQ4" s="63"/>
      <c r="FR4" s="63"/>
      <c r="FS4" s="66"/>
      <c r="FT4" s="110" t="s">
        <v>51</v>
      </c>
      <c r="FU4" s="63"/>
      <c r="FV4" s="63"/>
      <c r="FW4" s="63"/>
      <c r="FX4" s="63"/>
      <c r="FY4" s="63"/>
      <c r="FZ4" s="63"/>
      <c r="GA4" s="63"/>
      <c r="GB4" s="63"/>
      <c r="GC4" s="63"/>
      <c r="GD4" s="63"/>
      <c r="GE4" s="63"/>
      <c r="GF4" s="63"/>
      <c r="GG4" s="63"/>
      <c r="GH4" s="63"/>
      <c r="GI4" s="63"/>
      <c r="GJ4" s="63"/>
      <c r="GK4" s="63"/>
      <c r="GL4" s="63"/>
      <c r="GM4" s="63"/>
      <c r="GN4" s="63"/>
      <c r="GO4" s="63"/>
      <c r="GP4" s="63"/>
      <c r="GQ4" s="63"/>
      <c r="GR4" s="63"/>
      <c r="GS4" s="63"/>
      <c r="GT4" s="63"/>
      <c r="GU4" s="63"/>
      <c r="GV4" s="63"/>
      <c r="GW4" s="63"/>
      <c r="GX4" s="63"/>
      <c r="GY4" s="63"/>
      <c r="GZ4" s="66"/>
      <c r="HA4" s="15"/>
      <c r="HB4" s="15"/>
    </row>
    <row r="5" ht="15.75" customHeight="1">
      <c r="A5" s="13"/>
      <c r="B5" s="56"/>
      <c r="C5" s="56"/>
      <c r="D5" s="56"/>
      <c r="E5" s="57"/>
      <c r="F5" s="15"/>
      <c r="G5" s="82"/>
      <c r="H5" s="82"/>
      <c r="I5" s="112" t="s">
        <v>10</v>
      </c>
      <c r="J5" s="113" t="s">
        <v>25</v>
      </c>
      <c r="K5" s="63"/>
      <c r="L5" s="63"/>
      <c r="M5" s="63"/>
      <c r="N5" s="63"/>
      <c r="O5" s="63"/>
      <c r="P5" s="63"/>
      <c r="Q5" s="63"/>
      <c r="R5" s="63"/>
      <c r="S5" s="63"/>
      <c r="T5" s="63"/>
      <c r="U5" s="63"/>
      <c r="V5" s="63"/>
      <c r="W5" s="63"/>
      <c r="X5" s="63"/>
      <c r="Y5" s="66"/>
      <c r="Z5" s="113" t="s">
        <v>6</v>
      </c>
      <c r="AA5" s="63"/>
      <c r="AB5" s="63"/>
      <c r="AC5" s="63"/>
      <c r="AD5" s="63"/>
      <c r="AE5" s="63"/>
      <c r="AF5" s="63"/>
      <c r="AG5" s="63"/>
      <c r="AH5" s="63"/>
      <c r="AI5" s="63"/>
      <c r="AJ5" s="63"/>
      <c r="AK5" s="63"/>
      <c r="AL5" s="63"/>
      <c r="AM5" s="63"/>
      <c r="AN5" s="63"/>
      <c r="AO5" s="66"/>
      <c r="AP5" s="112" t="s">
        <v>10</v>
      </c>
      <c r="AQ5" s="113" t="s">
        <v>27</v>
      </c>
      <c r="AR5" s="63"/>
      <c r="AS5" s="63"/>
      <c r="AT5" s="63"/>
      <c r="AU5" s="63"/>
      <c r="AV5" s="63"/>
      <c r="AW5" s="63"/>
      <c r="AX5" s="63"/>
      <c r="AY5" s="63"/>
      <c r="AZ5" s="63"/>
      <c r="BA5" s="63"/>
      <c r="BB5" s="63"/>
      <c r="BC5" s="63"/>
      <c r="BD5" s="63"/>
      <c r="BE5" s="63"/>
      <c r="BF5" s="66"/>
      <c r="BG5" s="113" t="s">
        <v>28</v>
      </c>
      <c r="BH5" s="63"/>
      <c r="BI5" s="63"/>
      <c r="BJ5" s="63"/>
      <c r="BK5" s="63"/>
      <c r="BL5" s="63"/>
      <c r="BM5" s="63"/>
      <c r="BN5" s="63"/>
      <c r="BO5" s="63"/>
      <c r="BP5" s="63"/>
      <c r="BQ5" s="63"/>
      <c r="BR5" s="63"/>
      <c r="BS5" s="63"/>
      <c r="BT5" s="63"/>
      <c r="BU5" s="63"/>
      <c r="BV5" s="66"/>
      <c r="BW5" s="82"/>
      <c r="BX5" s="112" t="s">
        <v>10</v>
      </c>
      <c r="BY5" s="113" t="s">
        <v>29</v>
      </c>
      <c r="BZ5" s="63"/>
      <c r="CA5" s="63"/>
      <c r="CB5" s="63"/>
      <c r="CC5" s="63"/>
      <c r="CD5" s="63"/>
      <c r="CE5" s="63"/>
      <c r="CF5" s="63"/>
      <c r="CG5" s="63"/>
      <c r="CH5" s="63"/>
      <c r="CI5" s="63"/>
      <c r="CJ5" s="63"/>
      <c r="CK5" s="63"/>
      <c r="CL5" s="63"/>
      <c r="CM5" s="63"/>
      <c r="CN5" s="66"/>
      <c r="CO5" s="113" t="s">
        <v>30</v>
      </c>
      <c r="CP5" s="63"/>
      <c r="CQ5" s="63"/>
      <c r="CR5" s="63"/>
      <c r="CS5" s="63"/>
      <c r="CT5" s="63"/>
      <c r="CU5" s="63"/>
      <c r="CV5" s="63"/>
      <c r="CW5" s="63"/>
      <c r="CX5" s="63"/>
      <c r="CY5" s="63"/>
      <c r="CZ5" s="63"/>
      <c r="DA5" s="63"/>
      <c r="DB5" s="63"/>
      <c r="DC5" s="63"/>
      <c r="DD5" s="66"/>
      <c r="DE5" s="112" t="s">
        <v>10</v>
      </c>
      <c r="DF5" s="113" t="s">
        <v>31</v>
      </c>
      <c r="DG5" s="63"/>
      <c r="DH5" s="63"/>
      <c r="DI5" s="63"/>
      <c r="DJ5" s="63"/>
      <c r="DK5" s="63"/>
      <c r="DL5" s="63"/>
      <c r="DM5" s="63"/>
      <c r="DN5" s="63"/>
      <c r="DO5" s="63"/>
      <c r="DP5" s="63"/>
      <c r="DQ5" s="63"/>
      <c r="DR5" s="63"/>
      <c r="DS5" s="63"/>
      <c r="DT5" s="63"/>
      <c r="DU5" s="66"/>
      <c r="DV5" s="113" t="s">
        <v>32</v>
      </c>
      <c r="DW5" s="63"/>
      <c r="DX5" s="63"/>
      <c r="DY5" s="63"/>
      <c r="DZ5" s="63"/>
      <c r="EA5" s="63"/>
      <c r="EB5" s="63"/>
      <c r="EC5" s="63"/>
      <c r="ED5" s="63"/>
      <c r="EE5" s="63"/>
      <c r="EF5" s="63"/>
      <c r="EG5" s="63"/>
      <c r="EH5" s="63"/>
      <c r="EI5" s="63"/>
      <c r="EJ5" s="63"/>
      <c r="EK5" s="66"/>
      <c r="EL5" s="82"/>
      <c r="EM5" s="112" t="s">
        <v>10</v>
      </c>
      <c r="EN5" s="113" t="s">
        <v>33</v>
      </c>
      <c r="EO5" s="63"/>
      <c r="EP5" s="63"/>
      <c r="EQ5" s="63"/>
      <c r="ER5" s="63"/>
      <c r="ES5" s="63"/>
      <c r="ET5" s="63"/>
      <c r="EU5" s="63"/>
      <c r="EV5" s="63"/>
      <c r="EW5" s="63"/>
      <c r="EX5" s="63"/>
      <c r="EY5" s="63"/>
      <c r="EZ5" s="63"/>
      <c r="FA5" s="63"/>
      <c r="FB5" s="63"/>
      <c r="FC5" s="66"/>
      <c r="FD5" s="113" t="s">
        <v>34</v>
      </c>
      <c r="FE5" s="63"/>
      <c r="FF5" s="63"/>
      <c r="FG5" s="63"/>
      <c r="FH5" s="63"/>
      <c r="FI5" s="63"/>
      <c r="FJ5" s="63"/>
      <c r="FK5" s="63"/>
      <c r="FL5" s="63"/>
      <c r="FM5" s="63"/>
      <c r="FN5" s="63"/>
      <c r="FO5" s="63"/>
      <c r="FP5" s="63"/>
      <c r="FQ5" s="63"/>
      <c r="FR5" s="63"/>
      <c r="FS5" s="66"/>
      <c r="FT5" s="112" t="s">
        <v>10</v>
      </c>
      <c r="FU5" s="113" t="s">
        <v>35</v>
      </c>
      <c r="FV5" s="63"/>
      <c r="FW5" s="63"/>
      <c r="FX5" s="63"/>
      <c r="FY5" s="63"/>
      <c r="FZ5" s="63"/>
      <c r="GA5" s="63"/>
      <c r="GB5" s="63"/>
      <c r="GC5" s="63"/>
      <c r="GD5" s="63"/>
      <c r="GE5" s="63"/>
      <c r="GF5" s="63"/>
      <c r="GG5" s="63"/>
      <c r="GH5" s="63"/>
      <c r="GI5" s="63"/>
      <c r="GJ5" s="66"/>
      <c r="GK5" s="113" t="s">
        <v>36</v>
      </c>
      <c r="GL5" s="63"/>
      <c r="GM5" s="63"/>
      <c r="GN5" s="63"/>
      <c r="GO5" s="63"/>
      <c r="GP5" s="63"/>
      <c r="GQ5" s="63"/>
      <c r="GR5" s="63"/>
      <c r="GS5" s="63"/>
      <c r="GT5" s="63"/>
      <c r="GU5" s="63"/>
      <c r="GV5" s="63"/>
      <c r="GW5" s="63"/>
      <c r="GX5" s="63"/>
      <c r="GY5" s="63"/>
      <c r="GZ5" s="66"/>
      <c r="HA5" s="15"/>
      <c r="HB5" s="15"/>
    </row>
    <row r="6" ht="15.75" customHeight="1">
      <c r="A6" s="13"/>
      <c r="B6" s="118"/>
      <c r="C6" s="63"/>
      <c r="D6" s="66"/>
      <c r="E6" s="119"/>
      <c r="F6" s="15"/>
      <c r="G6" s="82"/>
      <c r="H6" s="82"/>
      <c r="I6" s="82"/>
      <c r="J6" s="120" t="s">
        <v>10</v>
      </c>
      <c r="K6" s="121" t="s">
        <v>56</v>
      </c>
      <c r="L6" s="63"/>
      <c r="M6" s="63"/>
      <c r="N6" s="63"/>
      <c r="O6" s="66"/>
      <c r="P6" s="121" t="s">
        <v>57</v>
      </c>
      <c r="Q6" s="63"/>
      <c r="R6" s="63"/>
      <c r="S6" s="63"/>
      <c r="T6" s="66"/>
      <c r="U6" s="122" t="s">
        <v>58</v>
      </c>
      <c r="V6" s="63"/>
      <c r="W6" s="63"/>
      <c r="X6" s="63"/>
      <c r="Y6" s="66"/>
      <c r="Z6" s="120" t="s">
        <v>10</v>
      </c>
      <c r="AA6" s="122" t="s">
        <v>59</v>
      </c>
      <c r="AB6" s="63"/>
      <c r="AC6" s="63"/>
      <c r="AD6" s="63"/>
      <c r="AE6" s="66"/>
      <c r="AF6" s="122" t="s">
        <v>61</v>
      </c>
      <c r="AG6" s="63"/>
      <c r="AH6" s="63"/>
      <c r="AI6" s="63"/>
      <c r="AJ6" s="66"/>
      <c r="AK6" s="122" t="s">
        <v>62</v>
      </c>
      <c r="AL6" s="63"/>
      <c r="AM6" s="63"/>
      <c r="AN6" s="63"/>
      <c r="AO6" s="66"/>
      <c r="AP6" s="82"/>
      <c r="AQ6" s="120" t="s">
        <v>10</v>
      </c>
      <c r="AR6" s="122" t="s">
        <v>63</v>
      </c>
      <c r="AS6" s="63"/>
      <c r="AT6" s="63"/>
      <c r="AU6" s="63"/>
      <c r="AV6" s="66"/>
      <c r="AW6" s="122" t="s">
        <v>64</v>
      </c>
      <c r="AX6" s="63"/>
      <c r="AY6" s="63"/>
      <c r="AZ6" s="63"/>
      <c r="BA6" s="66"/>
      <c r="BB6" s="122" t="s">
        <v>65</v>
      </c>
      <c r="BC6" s="63"/>
      <c r="BD6" s="63"/>
      <c r="BE6" s="63"/>
      <c r="BF6" s="66"/>
      <c r="BG6" s="120" t="s">
        <v>10</v>
      </c>
      <c r="BH6" s="122" t="s">
        <v>66</v>
      </c>
      <c r="BI6" s="63"/>
      <c r="BJ6" s="63"/>
      <c r="BK6" s="63"/>
      <c r="BL6" s="66"/>
      <c r="BM6" s="122" t="s">
        <v>67</v>
      </c>
      <c r="BN6" s="63"/>
      <c r="BO6" s="63"/>
      <c r="BP6" s="63"/>
      <c r="BQ6" s="66"/>
      <c r="BR6" s="122" t="s">
        <v>68</v>
      </c>
      <c r="BS6" s="63"/>
      <c r="BT6" s="63"/>
      <c r="BU6" s="63"/>
      <c r="BV6" s="66"/>
      <c r="BW6" s="82"/>
      <c r="BX6" s="82"/>
      <c r="BY6" s="120" t="s">
        <v>10</v>
      </c>
      <c r="BZ6" s="122" t="s">
        <v>69</v>
      </c>
      <c r="CA6" s="63"/>
      <c r="CB6" s="63"/>
      <c r="CC6" s="63"/>
      <c r="CD6" s="66"/>
      <c r="CE6" s="122" t="s">
        <v>70</v>
      </c>
      <c r="CF6" s="63"/>
      <c r="CG6" s="63"/>
      <c r="CH6" s="63"/>
      <c r="CI6" s="66"/>
      <c r="CJ6" s="122" t="s">
        <v>71</v>
      </c>
      <c r="CK6" s="63"/>
      <c r="CL6" s="63"/>
      <c r="CM6" s="63"/>
      <c r="CN6" s="66"/>
      <c r="CO6" s="120" t="s">
        <v>10</v>
      </c>
      <c r="CP6" s="122" t="s">
        <v>72</v>
      </c>
      <c r="CQ6" s="63"/>
      <c r="CR6" s="63"/>
      <c r="CS6" s="63"/>
      <c r="CT6" s="66"/>
      <c r="CU6" s="122" t="s">
        <v>73</v>
      </c>
      <c r="CV6" s="63"/>
      <c r="CW6" s="63"/>
      <c r="CX6" s="63"/>
      <c r="CY6" s="66"/>
      <c r="CZ6" s="122" t="s">
        <v>75</v>
      </c>
      <c r="DA6" s="63"/>
      <c r="DB6" s="63"/>
      <c r="DC6" s="63"/>
      <c r="DD6" s="66"/>
      <c r="DE6" s="82"/>
      <c r="DF6" s="120" t="s">
        <v>10</v>
      </c>
      <c r="DG6" s="122" t="s">
        <v>76</v>
      </c>
      <c r="DH6" s="63"/>
      <c r="DI6" s="63"/>
      <c r="DJ6" s="63"/>
      <c r="DK6" s="66"/>
      <c r="DL6" s="122" t="s">
        <v>77</v>
      </c>
      <c r="DM6" s="63"/>
      <c r="DN6" s="63"/>
      <c r="DO6" s="63"/>
      <c r="DP6" s="66"/>
      <c r="DQ6" s="122" t="s">
        <v>78</v>
      </c>
      <c r="DR6" s="63"/>
      <c r="DS6" s="63"/>
      <c r="DT6" s="63"/>
      <c r="DU6" s="66"/>
      <c r="DV6" s="120" t="s">
        <v>10</v>
      </c>
      <c r="DW6" s="122" t="s">
        <v>79</v>
      </c>
      <c r="DX6" s="63"/>
      <c r="DY6" s="63"/>
      <c r="DZ6" s="63"/>
      <c r="EA6" s="66"/>
      <c r="EB6" s="122" t="s">
        <v>80</v>
      </c>
      <c r="EC6" s="63"/>
      <c r="ED6" s="63"/>
      <c r="EE6" s="63"/>
      <c r="EF6" s="66"/>
      <c r="EG6" s="122" t="s">
        <v>81</v>
      </c>
      <c r="EH6" s="63"/>
      <c r="EI6" s="63"/>
      <c r="EJ6" s="63"/>
      <c r="EK6" s="66"/>
      <c r="EL6" s="82"/>
      <c r="EM6" s="82"/>
      <c r="EN6" s="120" t="s">
        <v>10</v>
      </c>
      <c r="EO6" s="122" t="s">
        <v>82</v>
      </c>
      <c r="EP6" s="63"/>
      <c r="EQ6" s="63"/>
      <c r="ER6" s="63"/>
      <c r="ES6" s="66"/>
      <c r="ET6" s="122" t="s">
        <v>83</v>
      </c>
      <c r="EU6" s="63"/>
      <c r="EV6" s="63"/>
      <c r="EW6" s="63"/>
      <c r="EX6" s="66"/>
      <c r="EY6" s="122" t="s">
        <v>84</v>
      </c>
      <c r="EZ6" s="63"/>
      <c r="FA6" s="63"/>
      <c r="FB6" s="63"/>
      <c r="FC6" s="66"/>
      <c r="FD6" s="120" t="s">
        <v>10</v>
      </c>
      <c r="FE6" s="122" t="s">
        <v>85</v>
      </c>
      <c r="FF6" s="63"/>
      <c r="FG6" s="63"/>
      <c r="FH6" s="63"/>
      <c r="FI6" s="66"/>
      <c r="FJ6" s="122" t="s">
        <v>86</v>
      </c>
      <c r="FK6" s="63"/>
      <c r="FL6" s="63"/>
      <c r="FM6" s="63"/>
      <c r="FN6" s="66"/>
      <c r="FO6" s="122" t="s">
        <v>87</v>
      </c>
      <c r="FP6" s="63"/>
      <c r="FQ6" s="63"/>
      <c r="FR6" s="63"/>
      <c r="FS6" s="66"/>
      <c r="FT6" s="82"/>
      <c r="FU6" s="120" t="s">
        <v>10</v>
      </c>
      <c r="FV6" s="122" t="s">
        <v>89</v>
      </c>
      <c r="FW6" s="63"/>
      <c r="FX6" s="63"/>
      <c r="FY6" s="63"/>
      <c r="FZ6" s="66"/>
      <c r="GA6" s="122" t="s">
        <v>90</v>
      </c>
      <c r="GB6" s="63"/>
      <c r="GC6" s="63"/>
      <c r="GD6" s="63"/>
      <c r="GE6" s="66"/>
      <c r="GF6" s="122" t="s">
        <v>91</v>
      </c>
      <c r="GG6" s="63"/>
      <c r="GH6" s="63"/>
      <c r="GI6" s="63"/>
      <c r="GJ6" s="66"/>
      <c r="GK6" s="120" t="s">
        <v>10</v>
      </c>
      <c r="GL6" s="122" t="s">
        <v>92</v>
      </c>
      <c r="GM6" s="63"/>
      <c r="GN6" s="63"/>
      <c r="GO6" s="63"/>
      <c r="GP6" s="66"/>
      <c r="GQ6" s="122" t="s">
        <v>93</v>
      </c>
      <c r="GR6" s="63"/>
      <c r="GS6" s="63"/>
      <c r="GT6" s="63"/>
      <c r="GU6" s="66"/>
      <c r="GV6" s="122" t="s">
        <v>94</v>
      </c>
      <c r="GW6" s="63"/>
      <c r="GX6" s="63"/>
      <c r="GY6" s="63"/>
      <c r="GZ6" s="66"/>
      <c r="HA6" s="15"/>
      <c r="HB6" s="15"/>
    </row>
    <row r="7" ht="15.75" customHeight="1">
      <c r="A7" s="13"/>
      <c r="B7" s="127"/>
      <c r="C7" s="66"/>
      <c r="D7" s="128" t="s">
        <v>7</v>
      </c>
      <c r="E7" s="129"/>
      <c r="F7" s="15"/>
      <c r="G7" s="130" t="s">
        <v>20</v>
      </c>
      <c r="H7" s="131" t="s">
        <v>39</v>
      </c>
      <c r="I7" s="132" t="s">
        <v>45</v>
      </c>
      <c r="J7" s="134" t="s">
        <v>25</v>
      </c>
      <c r="K7" s="136" t="s">
        <v>56</v>
      </c>
      <c r="L7" s="137" t="s">
        <v>95</v>
      </c>
      <c r="M7" s="137" t="s">
        <v>96</v>
      </c>
      <c r="N7" s="137" t="s">
        <v>97</v>
      </c>
      <c r="O7" s="137" t="s">
        <v>98</v>
      </c>
      <c r="P7" s="136" t="s">
        <v>57</v>
      </c>
      <c r="Q7" s="137" t="s">
        <v>99</v>
      </c>
      <c r="R7" s="137" t="s">
        <v>100</v>
      </c>
      <c r="S7" s="137" t="s">
        <v>102</v>
      </c>
      <c r="T7" s="137" t="s">
        <v>103</v>
      </c>
      <c r="U7" s="136" t="s">
        <v>58</v>
      </c>
      <c r="V7" s="137" t="s">
        <v>104</v>
      </c>
      <c r="W7" s="137" t="s">
        <v>105</v>
      </c>
      <c r="X7" s="137" t="s">
        <v>106</v>
      </c>
      <c r="Y7" s="137" t="s">
        <v>107</v>
      </c>
      <c r="Z7" s="134" t="s">
        <v>6</v>
      </c>
      <c r="AA7" s="136" t="s">
        <v>59</v>
      </c>
      <c r="AB7" s="137" t="s">
        <v>108</v>
      </c>
      <c r="AC7" s="137" t="s">
        <v>110</v>
      </c>
      <c r="AD7" s="137" t="s">
        <v>111</v>
      </c>
      <c r="AE7" s="137" t="s">
        <v>112</v>
      </c>
      <c r="AF7" s="136" t="s">
        <v>61</v>
      </c>
      <c r="AG7" s="141" t="s">
        <v>113</v>
      </c>
      <c r="AH7" s="141" t="s">
        <v>114</v>
      </c>
      <c r="AI7" s="141" t="s">
        <v>115</v>
      </c>
      <c r="AJ7" s="141" t="s">
        <v>116</v>
      </c>
      <c r="AK7" s="136" t="s">
        <v>62</v>
      </c>
      <c r="AL7" s="141" t="s">
        <v>117</v>
      </c>
      <c r="AM7" s="141" t="s">
        <v>118</v>
      </c>
      <c r="AN7" s="141" t="s">
        <v>119</v>
      </c>
      <c r="AO7" s="141" t="s">
        <v>120</v>
      </c>
      <c r="AP7" s="132" t="s">
        <v>47</v>
      </c>
      <c r="AQ7" s="134" t="s">
        <v>27</v>
      </c>
      <c r="AR7" s="136" t="s">
        <v>63</v>
      </c>
      <c r="AS7" s="141" t="s">
        <v>121</v>
      </c>
      <c r="AT7" s="141" t="s">
        <v>122</v>
      </c>
      <c r="AU7" s="141" t="s">
        <v>123</v>
      </c>
      <c r="AV7" s="141" t="s">
        <v>124</v>
      </c>
      <c r="AW7" s="136" t="s">
        <v>64</v>
      </c>
      <c r="AX7" s="141" t="s">
        <v>125</v>
      </c>
      <c r="AY7" s="141" t="s">
        <v>126</v>
      </c>
      <c r="AZ7" s="141" t="s">
        <v>127</v>
      </c>
      <c r="BA7" s="141" t="s">
        <v>128</v>
      </c>
      <c r="BB7" s="136" t="s">
        <v>65</v>
      </c>
      <c r="BC7" s="141" t="s">
        <v>129</v>
      </c>
      <c r="BD7" s="141" t="s">
        <v>130</v>
      </c>
      <c r="BE7" s="141" t="s">
        <v>131</v>
      </c>
      <c r="BF7" s="141" t="s">
        <v>132</v>
      </c>
      <c r="BG7" s="134" t="s">
        <v>28</v>
      </c>
      <c r="BH7" s="136" t="s">
        <v>66</v>
      </c>
      <c r="BI7" s="141" t="s">
        <v>133</v>
      </c>
      <c r="BJ7" s="141" t="s">
        <v>134</v>
      </c>
      <c r="BK7" s="141" t="s">
        <v>135</v>
      </c>
      <c r="BL7" s="141" t="s">
        <v>136</v>
      </c>
      <c r="BM7" s="136" t="s">
        <v>67</v>
      </c>
      <c r="BN7" s="141" t="s">
        <v>137</v>
      </c>
      <c r="BO7" s="141" t="s">
        <v>138</v>
      </c>
      <c r="BP7" s="141" t="s">
        <v>139</v>
      </c>
      <c r="BQ7" s="141" t="s">
        <v>140</v>
      </c>
      <c r="BR7" s="136" t="s">
        <v>68</v>
      </c>
      <c r="BS7" s="141" t="s">
        <v>141</v>
      </c>
      <c r="BT7" s="141" t="s">
        <v>142</v>
      </c>
      <c r="BU7" s="141" t="s">
        <v>143</v>
      </c>
      <c r="BV7" s="141" t="s">
        <v>144</v>
      </c>
      <c r="BW7" s="131" t="s">
        <v>41</v>
      </c>
      <c r="BX7" s="132" t="s">
        <v>48</v>
      </c>
      <c r="BY7" s="134" t="s">
        <v>29</v>
      </c>
      <c r="BZ7" s="136" t="s">
        <v>69</v>
      </c>
      <c r="CA7" s="141" t="s">
        <v>146</v>
      </c>
      <c r="CB7" s="141" t="s">
        <v>147</v>
      </c>
      <c r="CC7" s="141" t="s">
        <v>148</v>
      </c>
      <c r="CD7" s="141" t="s">
        <v>149</v>
      </c>
      <c r="CE7" s="136" t="s">
        <v>70</v>
      </c>
      <c r="CF7" s="141" t="s">
        <v>150</v>
      </c>
      <c r="CG7" s="141" t="s">
        <v>151</v>
      </c>
      <c r="CH7" s="141" t="s">
        <v>152</v>
      </c>
      <c r="CI7" s="141" t="s">
        <v>153</v>
      </c>
      <c r="CJ7" s="136" t="s">
        <v>71</v>
      </c>
      <c r="CK7" s="141" t="s">
        <v>154</v>
      </c>
      <c r="CL7" s="141" t="s">
        <v>155</v>
      </c>
      <c r="CM7" s="141" t="s">
        <v>156</v>
      </c>
      <c r="CN7" s="141" t="s">
        <v>157</v>
      </c>
      <c r="CO7" s="134" t="s">
        <v>30</v>
      </c>
      <c r="CP7" s="136" t="s">
        <v>72</v>
      </c>
      <c r="CQ7" s="141" t="s">
        <v>158</v>
      </c>
      <c r="CR7" s="141" t="s">
        <v>159</v>
      </c>
      <c r="CS7" s="141" t="s">
        <v>160</v>
      </c>
      <c r="CT7" s="141" t="s">
        <v>161</v>
      </c>
      <c r="CU7" s="136" t="s">
        <v>73</v>
      </c>
      <c r="CV7" s="141" t="s">
        <v>162</v>
      </c>
      <c r="CW7" s="141" t="s">
        <v>163</v>
      </c>
      <c r="CX7" s="141" t="s">
        <v>164</v>
      </c>
      <c r="CY7" s="141" t="s">
        <v>165</v>
      </c>
      <c r="CZ7" s="136" t="s">
        <v>75</v>
      </c>
      <c r="DA7" s="141" t="s">
        <v>167</v>
      </c>
      <c r="DB7" s="141" t="s">
        <v>168</v>
      </c>
      <c r="DC7" s="141" t="s">
        <v>169</v>
      </c>
      <c r="DD7" s="141" t="s">
        <v>170</v>
      </c>
      <c r="DE7" s="132" t="s">
        <v>49</v>
      </c>
      <c r="DF7" s="134" t="s">
        <v>31</v>
      </c>
      <c r="DG7" s="136" t="s">
        <v>76</v>
      </c>
      <c r="DH7" s="141" t="s">
        <v>171</v>
      </c>
      <c r="DI7" s="141" t="s">
        <v>172</v>
      </c>
      <c r="DJ7" s="141" t="s">
        <v>173</v>
      </c>
      <c r="DK7" s="141" t="s">
        <v>174</v>
      </c>
      <c r="DL7" s="136" t="s">
        <v>77</v>
      </c>
      <c r="DM7" s="141" t="s">
        <v>175</v>
      </c>
      <c r="DN7" s="141" t="s">
        <v>176</v>
      </c>
      <c r="DO7" s="141" t="s">
        <v>177</v>
      </c>
      <c r="DP7" s="141" t="s">
        <v>178</v>
      </c>
      <c r="DQ7" s="136" t="s">
        <v>78</v>
      </c>
      <c r="DR7" s="141" t="s">
        <v>179</v>
      </c>
      <c r="DS7" s="141" t="s">
        <v>180</v>
      </c>
      <c r="DT7" s="141" t="s">
        <v>181</v>
      </c>
      <c r="DU7" s="141" t="s">
        <v>182</v>
      </c>
      <c r="DV7" s="134" t="s">
        <v>32</v>
      </c>
      <c r="DW7" s="136" t="s">
        <v>79</v>
      </c>
      <c r="DX7" s="141" t="s">
        <v>183</v>
      </c>
      <c r="DY7" s="141" t="s">
        <v>184</v>
      </c>
      <c r="DZ7" s="141" t="s">
        <v>185</v>
      </c>
      <c r="EA7" s="141" t="s">
        <v>186</v>
      </c>
      <c r="EB7" s="136" t="s">
        <v>80</v>
      </c>
      <c r="EC7" s="141" t="s">
        <v>187</v>
      </c>
      <c r="ED7" s="141" t="s">
        <v>188</v>
      </c>
      <c r="EE7" s="141" t="s">
        <v>189</v>
      </c>
      <c r="EF7" s="141" t="s">
        <v>190</v>
      </c>
      <c r="EG7" s="136" t="s">
        <v>81</v>
      </c>
      <c r="EH7" s="141" t="s">
        <v>191</v>
      </c>
      <c r="EI7" s="141" t="s">
        <v>192</v>
      </c>
      <c r="EJ7" s="141" t="s">
        <v>193</v>
      </c>
      <c r="EK7" s="141" t="s">
        <v>194</v>
      </c>
      <c r="EL7" s="131" t="s">
        <v>43</v>
      </c>
      <c r="EM7" s="132" t="s">
        <v>50</v>
      </c>
      <c r="EN7" s="134" t="s">
        <v>33</v>
      </c>
      <c r="EO7" s="136" t="s">
        <v>82</v>
      </c>
      <c r="EP7" s="141" t="s">
        <v>195</v>
      </c>
      <c r="EQ7" s="141" t="s">
        <v>196</v>
      </c>
      <c r="ER7" s="141" t="s">
        <v>197</v>
      </c>
      <c r="ES7" s="141" t="s">
        <v>198</v>
      </c>
      <c r="ET7" s="136" t="s">
        <v>83</v>
      </c>
      <c r="EU7" s="141" t="s">
        <v>199</v>
      </c>
      <c r="EV7" s="141" t="s">
        <v>200</v>
      </c>
      <c r="EW7" s="141" t="s">
        <v>201</v>
      </c>
      <c r="EX7" s="141" t="s">
        <v>202</v>
      </c>
      <c r="EY7" s="136" t="s">
        <v>84</v>
      </c>
      <c r="EZ7" s="141" t="s">
        <v>203</v>
      </c>
      <c r="FA7" s="141" t="s">
        <v>204</v>
      </c>
      <c r="FB7" s="141" t="s">
        <v>205</v>
      </c>
      <c r="FC7" s="141" t="s">
        <v>206</v>
      </c>
      <c r="FD7" s="134" t="s">
        <v>34</v>
      </c>
      <c r="FE7" s="136" t="s">
        <v>85</v>
      </c>
      <c r="FF7" s="141" t="s">
        <v>207</v>
      </c>
      <c r="FG7" s="141" t="s">
        <v>208</v>
      </c>
      <c r="FH7" s="141" t="s">
        <v>209</v>
      </c>
      <c r="FI7" s="141" t="s">
        <v>210</v>
      </c>
      <c r="FJ7" s="136" t="s">
        <v>86</v>
      </c>
      <c r="FK7" s="141" t="s">
        <v>211</v>
      </c>
      <c r="FL7" s="141" t="s">
        <v>212</v>
      </c>
      <c r="FM7" s="141" t="s">
        <v>213</v>
      </c>
      <c r="FN7" s="141" t="s">
        <v>214</v>
      </c>
      <c r="FO7" s="136" t="s">
        <v>87</v>
      </c>
      <c r="FP7" s="141" t="s">
        <v>215</v>
      </c>
      <c r="FQ7" s="141" t="s">
        <v>216</v>
      </c>
      <c r="FR7" s="141" t="s">
        <v>217</v>
      </c>
      <c r="FS7" s="141" t="s">
        <v>218</v>
      </c>
      <c r="FT7" s="132" t="s">
        <v>51</v>
      </c>
      <c r="FU7" s="134" t="s">
        <v>35</v>
      </c>
      <c r="FV7" s="136" t="s">
        <v>89</v>
      </c>
      <c r="FW7" s="141" t="s">
        <v>219</v>
      </c>
      <c r="FX7" s="141" t="s">
        <v>220</v>
      </c>
      <c r="FY7" s="141" t="s">
        <v>221</v>
      </c>
      <c r="FZ7" s="141" t="s">
        <v>222</v>
      </c>
      <c r="GA7" s="136" t="s">
        <v>90</v>
      </c>
      <c r="GB7" s="141" t="s">
        <v>223</v>
      </c>
      <c r="GC7" s="141" t="s">
        <v>224</v>
      </c>
      <c r="GD7" s="141" t="s">
        <v>225</v>
      </c>
      <c r="GE7" s="141" t="s">
        <v>226</v>
      </c>
      <c r="GF7" s="136" t="s">
        <v>91</v>
      </c>
      <c r="GG7" s="141" t="s">
        <v>227</v>
      </c>
      <c r="GH7" s="141" t="s">
        <v>228</v>
      </c>
      <c r="GI7" s="141" t="s">
        <v>229</v>
      </c>
      <c r="GJ7" s="141" t="s">
        <v>230</v>
      </c>
      <c r="GK7" s="134" t="s">
        <v>36</v>
      </c>
      <c r="GL7" s="136" t="s">
        <v>92</v>
      </c>
      <c r="GM7" s="141" t="s">
        <v>231</v>
      </c>
      <c r="GN7" s="141" t="s">
        <v>232</v>
      </c>
      <c r="GO7" s="141" t="s">
        <v>233</v>
      </c>
      <c r="GP7" s="141" t="s">
        <v>234</v>
      </c>
      <c r="GQ7" s="136" t="s">
        <v>93</v>
      </c>
      <c r="GR7" s="141" t="s">
        <v>235</v>
      </c>
      <c r="GS7" s="141" t="s">
        <v>236</v>
      </c>
      <c r="GT7" s="141" t="s">
        <v>237</v>
      </c>
      <c r="GU7" s="141" t="s">
        <v>238</v>
      </c>
      <c r="GV7" s="136" t="s">
        <v>94</v>
      </c>
      <c r="GW7" s="141" t="s">
        <v>239</v>
      </c>
      <c r="GX7" s="141" t="s">
        <v>240</v>
      </c>
      <c r="GY7" s="141" t="s">
        <v>241</v>
      </c>
      <c r="GZ7" s="141" t="s">
        <v>242</v>
      </c>
      <c r="HA7" s="15"/>
      <c r="HB7" s="15"/>
    </row>
    <row r="8" ht="15.75" customHeight="1">
      <c r="A8" s="13"/>
      <c r="B8" s="151" t="s">
        <v>17</v>
      </c>
      <c r="C8" s="152">
        <v>1.0</v>
      </c>
      <c r="D8" s="153" t="s">
        <v>18</v>
      </c>
      <c r="E8" s="154" t="s">
        <v>19</v>
      </c>
      <c r="F8" s="15"/>
      <c r="G8" s="155">
        <f t="shared" ref="G8:G33" si="1">SUM(H8:GZ8)/5</f>
        <v>252000</v>
      </c>
      <c r="H8" s="156">
        <f t="shared" ref="H8:H33" si="2">SUM(I8:BV8)/4</f>
        <v>84000</v>
      </c>
      <c r="I8" s="157">
        <f t="shared" ref="I8:I33" si="3">SUM(J8:AO8)/3</f>
        <v>42000</v>
      </c>
      <c r="J8" s="158">
        <f t="shared" ref="J8:J33" si="4">SUM(K8:Y8)/2</f>
        <v>21000</v>
      </c>
      <c r="K8" s="159">
        <f t="shared" ref="K8:K33" si="5">SUM(L8:O8)</f>
        <v>7000</v>
      </c>
      <c r="L8" s="160">
        <v>1750.0</v>
      </c>
      <c r="M8" s="160">
        <v>1750.0</v>
      </c>
      <c r="N8" s="160">
        <v>1750.0</v>
      </c>
      <c r="O8" s="160">
        <v>1750.0</v>
      </c>
      <c r="P8" s="159">
        <f t="shared" ref="P8:P32" si="6">SUM(Q8:T8)</f>
        <v>7000</v>
      </c>
      <c r="Q8" s="160">
        <v>1750.0</v>
      </c>
      <c r="R8" s="160">
        <v>1750.0</v>
      </c>
      <c r="S8" s="160">
        <v>1750.0</v>
      </c>
      <c r="T8" s="160">
        <v>1750.0</v>
      </c>
      <c r="U8" s="159">
        <f t="shared" ref="U8:U33" si="7">SUM(V8:Y8)</f>
        <v>7000</v>
      </c>
      <c r="V8" s="163">
        <v>1750.0</v>
      </c>
      <c r="W8" s="164">
        <v>1750.0</v>
      </c>
      <c r="X8" s="164">
        <v>1750.0</v>
      </c>
      <c r="Y8" s="164">
        <v>1750.0</v>
      </c>
      <c r="Z8" s="158">
        <f t="shared" ref="Z8:Z33" si="8">SUM(AA8:AO8)/2</f>
        <v>21000</v>
      </c>
      <c r="AA8" s="159">
        <f t="shared" ref="AA8:AA33" si="9">SUM(AB8:AE8)</f>
        <v>7000</v>
      </c>
      <c r="AB8" s="163">
        <v>1750.0</v>
      </c>
      <c r="AC8" s="164">
        <v>1750.0</v>
      </c>
      <c r="AD8" s="164">
        <v>1750.0</v>
      </c>
      <c r="AE8" s="164">
        <v>1750.0</v>
      </c>
      <c r="AF8" s="159">
        <f t="shared" ref="AF8:AF32" si="10">SUM(AG8:AJ8)</f>
        <v>7000</v>
      </c>
      <c r="AG8" s="163">
        <v>1750.0</v>
      </c>
      <c r="AH8" s="164">
        <v>1750.0</v>
      </c>
      <c r="AI8" s="164">
        <v>1750.0</v>
      </c>
      <c r="AJ8" s="164">
        <v>1750.0</v>
      </c>
      <c r="AK8" s="159">
        <f t="shared" ref="AK8:AK33" si="11">SUM(AL8:AO8)</f>
        <v>7000</v>
      </c>
      <c r="AL8" s="163">
        <v>1750.0</v>
      </c>
      <c r="AM8" s="164">
        <v>1750.0</v>
      </c>
      <c r="AN8" s="164">
        <v>1750.0</v>
      </c>
      <c r="AO8" s="164">
        <v>1750.0</v>
      </c>
      <c r="AP8" s="157">
        <f t="shared" ref="AP8:AP33" si="12">SUM(AQ8:BV8)/3</f>
        <v>42000</v>
      </c>
      <c r="AQ8" s="158">
        <f t="shared" ref="AQ8:AQ33" si="13">SUM(AR8:BF8)/2</f>
        <v>21000</v>
      </c>
      <c r="AR8" s="159">
        <f t="shared" ref="AR8:AR33" si="14">SUM(AS8:AV8)</f>
        <v>7000</v>
      </c>
      <c r="AS8" s="163">
        <v>1750.0</v>
      </c>
      <c r="AT8" s="164">
        <v>1750.0</v>
      </c>
      <c r="AU8" s="164">
        <v>1750.0</v>
      </c>
      <c r="AV8" s="164">
        <v>1750.0</v>
      </c>
      <c r="AW8" s="159">
        <f t="shared" ref="AW8:AW32" si="15">SUM(AX8:BA8)</f>
        <v>7000</v>
      </c>
      <c r="AX8" s="163">
        <v>1750.0</v>
      </c>
      <c r="AY8" s="164">
        <v>1750.0</v>
      </c>
      <c r="AZ8" s="164">
        <v>1750.0</v>
      </c>
      <c r="BA8" s="164">
        <v>1750.0</v>
      </c>
      <c r="BB8" s="159">
        <f t="shared" ref="BB8:BB33" si="16">SUM(BC8:BF8)</f>
        <v>7000</v>
      </c>
      <c r="BC8" s="163">
        <v>1750.0</v>
      </c>
      <c r="BD8" s="164">
        <v>1750.0</v>
      </c>
      <c r="BE8" s="164">
        <v>1750.0</v>
      </c>
      <c r="BF8" s="164">
        <v>1750.0</v>
      </c>
      <c r="BG8" s="158">
        <f t="shared" ref="BG8:BG33" si="17">SUM(BH8:BV8)/2</f>
        <v>21000</v>
      </c>
      <c r="BH8" s="159">
        <f t="shared" ref="BH8:BH33" si="18">SUM(BI8:BL8)</f>
        <v>7000</v>
      </c>
      <c r="BI8" s="160">
        <v>1750.0</v>
      </c>
      <c r="BJ8" s="160">
        <v>1750.0</v>
      </c>
      <c r="BK8" s="160">
        <v>1750.0</v>
      </c>
      <c r="BL8" s="160">
        <v>1750.0</v>
      </c>
      <c r="BM8" s="159">
        <f t="shared" ref="BM8:BM32" si="19">SUM(BN8:BQ8)</f>
        <v>7000</v>
      </c>
      <c r="BN8" s="163">
        <v>1750.0</v>
      </c>
      <c r="BO8" s="164">
        <v>1750.0</v>
      </c>
      <c r="BP8" s="164">
        <v>1750.0</v>
      </c>
      <c r="BQ8" s="164">
        <v>1750.0</v>
      </c>
      <c r="BR8" s="159">
        <f t="shared" ref="BR8:BR33" si="20">SUM(BS8:BV8)</f>
        <v>7000</v>
      </c>
      <c r="BS8" s="160">
        <v>1750.0</v>
      </c>
      <c r="BT8" s="160">
        <v>1750.0</v>
      </c>
      <c r="BU8" s="160">
        <v>1750.0</v>
      </c>
      <c r="BV8" s="160">
        <v>1750.0</v>
      </c>
      <c r="BW8" s="156">
        <f t="shared" ref="BW8:BW33" si="21">SUM(BX8:EK8)/4</f>
        <v>84000</v>
      </c>
      <c r="BX8" s="157">
        <f t="shared" ref="BX8:BX33" si="22">SUM(BY8:DD8)/3</f>
        <v>42000</v>
      </c>
      <c r="BY8" s="158">
        <f t="shared" ref="BY8:BY33" si="23">SUM(BZ8:CN8)/2</f>
        <v>21000</v>
      </c>
      <c r="BZ8" s="159">
        <f t="shared" ref="BZ8:BZ33" si="24">SUM(CA8:CD8)</f>
        <v>7000</v>
      </c>
      <c r="CA8" s="163">
        <v>1750.0</v>
      </c>
      <c r="CB8" s="164">
        <v>1750.0</v>
      </c>
      <c r="CC8" s="164">
        <v>1750.0</v>
      </c>
      <c r="CD8" s="164">
        <v>1750.0</v>
      </c>
      <c r="CE8" s="159">
        <f t="shared" ref="CE8:CE32" si="25">SUM(CF8:CI8)</f>
        <v>7000</v>
      </c>
      <c r="CF8" s="163">
        <v>1750.0</v>
      </c>
      <c r="CG8" s="164">
        <v>1750.0</v>
      </c>
      <c r="CH8" s="164">
        <v>1750.0</v>
      </c>
      <c r="CI8" s="164">
        <v>1750.0</v>
      </c>
      <c r="CJ8" s="159">
        <f t="shared" ref="CJ8:CJ33" si="26">SUM(CK8:CN8)</f>
        <v>7000</v>
      </c>
      <c r="CK8" s="163">
        <v>1750.0</v>
      </c>
      <c r="CL8" s="164">
        <v>1750.0</v>
      </c>
      <c r="CM8" s="164">
        <v>1750.0</v>
      </c>
      <c r="CN8" s="164">
        <v>1750.0</v>
      </c>
      <c r="CO8" s="158">
        <f t="shared" ref="CO8:CO33" si="27">SUM(CP8:DD8)/2</f>
        <v>21000</v>
      </c>
      <c r="CP8" s="159">
        <f t="shared" ref="CP8:CP33" si="28">SUM(CQ8:CT8)</f>
        <v>7000</v>
      </c>
      <c r="CQ8" s="160">
        <v>1750.0</v>
      </c>
      <c r="CR8" s="160">
        <v>1750.0</v>
      </c>
      <c r="CS8" s="160">
        <v>1750.0</v>
      </c>
      <c r="CT8" s="160">
        <v>1750.0</v>
      </c>
      <c r="CU8" s="159">
        <f t="shared" ref="CU8:CU32" si="29">SUM(CV8:CY8)</f>
        <v>7000</v>
      </c>
      <c r="CV8" s="160">
        <v>1750.0</v>
      </c>
      <c r="CW8" s="160">
        <v>1750.0</v>
      </c>
      <c r="CX8" s="160">
        <v>1750.0</v>
      </c>
      <c r="CY8" s="160">
        <v>1750.0</v>
      </c>
      <c r="CZ8" s="159">
        <f t="shared" ref="CZ8:CZ33" si="30">SUM(DA8:DD8)</f>
        <v>7000</v>
      </c>
      <c r="DA8" s="163">
        <v>1750.0</v>
      </c>
      <c r="DB8" s="164">
        <v>1750.0</v>
      </c>
      <c r="DC8" s="164">
        <v>1750.0</v>
      </c>
      <c r="DD8" s="164">
        <v>1750.0</v>
      </c>
      <c r="DE8" s="157">
        <f t="shared" ref="DE8:DE33" si="31">SUM(DF8:EK8)/3</f>
        <v>42000</v>
      </c>
      <c r="DF8" s="158">
        <f t="shared" ref="DF8:DF33" si="32">SUM(DG8:DU8)/2</f>
        <v>21000</v>
      </c>
      <c r="DG8" s="159">
        <f t="shared" ref="DG8:DG33" si="33">SUM(DH8:DK8)</f>
        <v>7000</v>
      </c>
      <c r="DH8" s="163">
        <v>1750.0</v>
      </c>
      <c r="DI8" s="164">
        <v>1750.0</v>
      </c>
      <c r="DJ8" s="164">
        <v>1750.0</v>
      </c>
      <c r="DK8" s="164">
        <v>1750.0</v>
      </c>
      <c r="DL8" s="159">
        <f t="shared" ref="DL8:DL32" si="34">SUM(DM8:DP8)</f>
        <v>7000</v>
      </c>
      <c r="DM8" s="160">
        <v>1750.0</v>
      </c>
      <c r="DN8" s="160">
        <v>1750.0</v>
      </c>
      <c r="DO8" s="160">
        <v>1750.0</v>
      </c>
      <c r="DP8" s="160">
        <v>1750.0</v>
      </c>
      <c r="DQ8" s="159">
        <f t="shared" ref="DQ8:DQ33" si="35">SUM(DR8:DU8)</f>
        <v>7000</v>
      </c>
      <c r="DR8" s="160">
        <v>1750.0</v>
      </c>
      <c r="DS8" s="160">
        <v>1750.0</v>
      </c>
      <c r="DT8" s="160">
        <v>1750.0</v>
      </c>
      <c r="DU8" s="160">
        <v>1750.0</v>
      </c>
      <c r="DV8" s="158">
        <f t="shared" ref="DV8:DV33" si="36">SUM(DW8:EK8)/2</f>
        <v>21000</v>
      </c>
      <c r="DW8" s="159">
        <f t="shared" ref="DW8:DW33" si="37">SUM(DX8:EA8)</f>
        <v>7000</v>
      </c>
      <c r="DX8" s="163">
        <v>1750.0</v>
      </c>
      <c r="DY8" s="164">
        <v>1750.0</v>
      </c>
      <c r="DZ8" s="164">
        <v>1750.0</v>
      </c>
      <c r="EA8" s="164">
        <v>1750.0</v>
      </c>
      <c r="EB8" s="159">
        <f t="shared" ref="EB8:EB32" si="38">SUM(EC8:EF8)</f>
        <v>7000</v>
      </c>
      <c r="EC8" s="163">
        <v>1750.0</v>
      </c>
      <c r="ED8" s="164">
        <v>1750.0</v>
      </c>
      <c r="EE8" s="164">
        <v>1750.0</v>
      </c>
      <c r="EF8" s="164">
        <v>1750.0</v>
      </c>
      <c r="EG8" s="159">
        <f t="shared" ref="EG8:EG33" si="39">SUM(EH8:EK8)</f>
        <v>7000</v>
      </c>
      <c r="EH8" s="163">
        <v>1750.0</v>
      </c>
      <c r="EI8" s="164">
        <v>1750.0</v>
      </c>
      <c r="EJ8" s="164">
        <v>1750.0</v>
      </c>
      <c r="EK8" s="164">
        <v>1750.0</v>
      </c>
      <c r="EL8" s="156">
        <f t="shared" ref="EL8:EL33" si="40">SUM(EM8:GZ8)/4</f>
        <v>84000</v>
      </c>
      <c r="EM8" s="157">
        <f t="shared" ref="EM8:EM33" si="41">SUM(EN8:FS8)/3</f>
        <v>42000</v>
      </c>
      <c r="EN8" s="158">
        <f t="shared" ref="EN8:EN33" si="42">SUM(EO8:FC8)/2</f>
        <v>21000</v>
      </c>
      <c r="EO8" s="159">
        <f t="shared" ref="EO8:EO33" si="43">SUM(EP8:ES8)</f>
        <v>7000</v>
      </c>
      <c r="EP8" s="163">
        <v>1750.0</v>
      </c>
      <c r="EQ8" s="164">
        <v>1750.0</v>
      </c>
      <c r="ER8" s="164">
        <v>1750.0</v>
      </c>
      <c r="ES8" s="164">
        <v>1750.0</v>
      </c>
      <c r="ET8" s="159">
        <f t="shared" ref="ET8:ET32" si="44">SUM(EU8:EX8)</f>
        <v>7000</v>
      </c>
      <c r="EU8" s="163">
        <v>1750.0</v>
      </c>
      <c r="EV8" s="164">
        <v>1750.0</v>
      </c>
      <c r="EW8" s="164">
        <v>1750.0</v>
      </c>
      <c r="EX8" s="164">
        <v>1750.0</v>
      </c>
      <c r="EY8" s="159">
        <f t="shared" ref="EY8:EY33" si="45">SUM(EZ8:FC8)</f>
        <v>7000</v>
      </c>
      <c r="EZ8" s="163">
        <v>1750.0</v>
      </c>
      <c r="FA8" s="164">
        <v>1750.0</v>
      </c>
      <c r="FB8" s="164">
        <v>1750.0</v>
      </c>
      <c r="FC8" s="164">
        <v>1750.0</v>
      </c>
      <c r="FD8" s="158">
        <f t="shared" ref="FD8:FD33" si="46">SUM(FE8:FS8)/2</f>
        <v>21000</v>
      </c>
      <c r="FE8" s="159">
        <f t="shared" ref="FE8:FE33" si="47">SUM(FF8:FI8)</f>
        <v>7000</v>
      </c>
      <c r="FF8" s="160">
        <v>1750.0</v>
      </c>
      <c r="FG8" s="160">
        <v>1750.0</v>
      </c>
      <c r="FH8" s="160">
        <v>1750.0</v>
      </c>
      <c r="FI8" s="160">
        <v>1750.0</v>
      </c>
      <c r="FJ8" s="159">
        <f t="shared" ref="FJ8:FJ32" si="48">SUM(FK8:FN8)</f>
        <v>7000</v>
      </c>
      <c r="FK8" s="160">
        <v>1750.0</v>
      </c>
      <c r="FL8" s="160">
        <v>1750.0</v>
      </c>
      <c r="FM8" s="160">
        <v>1750.0</v>
      </c>
      <c r="FN8" s="160">
        <v>1750.0</v>
      </c>
      <c r="FO8" s="159">
        <f t="shared" ref="FO8:FO33" si="49">SUM(FP8:FS8)</f>
        <v>7000</v>
      </c>
      <c r="FP8" s="163">
        <v>1750.0</v>
      </c>
      <c r="FQ8" s="164">
        <v>1750.0</v>
      </c>
      <c r="FR8" s="164">
        <v>1750.0</v>
      </c>
      <c r="FS8" s="164">
        <v>1750.0</v>
      </c>
      <c r="FT8" s="157">
        <f t="shared" ref="FT8:FT33" si="50">SUM(FU8:GZ8)/3</f>
        <v>42000</v>
      </c>
      <c r="FU8" s="158">
        <f t="shared" ref="FU8:FU33" si="51">SUM(FV8:GJ8)/2</f>
        <v>21000</v>
      </c>
      <c r="FV8" s="159">
        <f t="shared" ref="FV8:FV33" si="52">SUM(FW8:FZ8)</f>
        <v>7000</v>
      </c>
      <c r="FW8" s="163">
        <v>1750.0</v>
      </c>
      <c r="FX8" s="164">
        <v>1750.0</v>
      </c>
      <c r="FY8" s="164">
        <v>1750.0</v>
      </c>
      <c r="FZ8" s="164">
        <v>1750.0</v>
      </c>
      <c r="GA8" s="159">
        <f t="shared" ref="GA8:GA32" si="53">SUM(GB8:GE8)</f>
        <v>7000</v>
      </c>
      <c r="GB8" s="160">
        <v>1750.0</v>
      </c>
      <c r="GC8" s="160">
        <v>1750.0</v>
      </c>
      <c r="GD8" s="160">
        <v>1750.0</v>
      </c>
      <c r="GE8" s="160">
        <v>1750.0</v>
      </c>
      <c r="GF8" s="159">
        <f t="shared" ref="GF8:GF33" si="54">SUM(GG8:GJ8)</f>
        <v>7000</v>
      </c>
      <c r="GG8" s="160">
        <v>1750.0</v>
      </c>
      <c r="GH8" s="160">
        <v>1750.0</v>
      </c>
      <c r="GI8" s="160">
        <v>1750.0</v>
      </c>
      <c r="GJ8" s="160">
        <v>1750.0</v>
      </c>
      <c r="GK8" s="158">
        <f t="shared" ref="GK8:GK33" si="55">SUM(GL8:GZ8)/2</f>
        <v>21000</v>
      </c>
      <c r="GL8" s="159">
        <f t="shared" ref="GL8:GL33" si="56">SUM(GM8:GP8)</f>
        <v>7000</v>
      </c>
      <c r="GM8" s="163">
        <v>1750.0</v>
      </c>
      <c r="GN8" s="164">
        <v>1750.0</v>
      </c>
      <c r="GO8" s="164">
        <v>1750.0</v>
      </c>
      <c r="GP8" s="164">
        <v>1750.0</v>
      </c>
      <c r="GQ8" s="159">
        <f t="shared" ref="GQ8:GQ32" si="57">SUM(GR8:GU8)</f>
        <v>7000</v>
      </c>
      <c r="GR8" s="163">
        <v>1750.0</v>
      </c>
      <c r="GS8" s="164">
        <v>1750.0</v>
      </c>
      <c r="GT8" s="164">
        <v>1750.0</v>
      </c>
      <c r="GU8" s="164">
        <v>1750.0</v>
      </c>
      <c r="GV8" s="159">
        <f t="shared" ref="GV8:GV33" si="58">SUM(GW8:GZ8)</f>
        <v>7000</v>
      </c>
      <c r="GW8" s="163">
        <v>1750.0</v>
      </c>
      <c r="GX8" s="164">
        <v>1750.0</v>
      </c>
      <c r="GY8" s="164">
        <v>1750.0</v>
      </c>
      <c r="GZ8" s="164">
        <v>1750.0</v>
      </c>
      <c r="HA8" s="15"/>
      <c r="HB8" s="15"/>
    </row>
    <row r="9" ht="15.75" customHeight="1">
      <c r="A9" s="13"/>
      <c r="B9" s="82"/>
      <c r="C9" s="78"/>
      <c r="D9" s="78"/>
      <c r="E9" s="154" t="s">
        <v>26</v>
      </c>
      <c r="F9" s="15"/>
      <c r="G9" s="155">
        <f t="shared" si="1"/>
        <v>251940</v>
      </c>
      <c r="H9" s="156">
        <f t="shared" si="2"/>
        <v>83980</v>
      </c>
      <c r="I9" s="157">
        <f t="shared" si="3"/>
        <v>41990</v>
      </c>
      <c r="J9" s="158">
        <f t="shared" si="4"/>
        <v>21040</v>
      </c>
      <c r="K9" s="159">
        <f t="shared" si="5"/>
        <v>6950</v>
      </c>
      <c r="L9" s="193">
        <v>1700.0</v>
      </c>
      <c r="M9" s="193">
        <v>1740.0</v>
      </c>
      <c r="N9" s="193">
        <v>1760.0</v>
      </c>
      <c r="O9" s="193">
        <v>1750.0</v>
      </c>
      <c r="P9" s="159">
        <f t="shared" si="6"/>
        <v>7010</v>
      </c>
      <c r="Q9" s="193">
        <v>1800.0</v>
      </c>
      <c r="R9" s="193">
        <v>1780.0</v>
      </c>
      <c r="S9" s="193">
        <v>1700.0</v>
      </c>
      <c r="T9" s="193">
        <v>1730.0</v>
      </c>
      <c r="U9" s="159">
        <f t="shared" si="7"/>
        <v>7080</v>
      </c>
      <c r="V9" s="193">
        <v>1770.0</v>
      </c>
      <c r="W9" s="193">
        <v>1810.0</v>
      </c>
      <c r="X9" s="193">
        <v>1800.0</v>
      </c>
      <c r="Y9" s="193">
        <v>1700.0</v>
      </c>
      <c r="Z9" s="158">
        <f t="shared" si="8"/>
        <v>20950</v>
      </c>
      <c r="AA9" s="159">
        <f t="shared" si="9"/>
        <v>7040</v>
      </c>
      <c r="AB9" s="193">
        <v>1740.0</v>
      </c>
      <c r="AC9" s="193">
        <v>1750.0</v>
      </c>
      <c r="AD9" s="193">
        <v>1770.0</v>
      </c>
      <c r="AE9" s="193">
        <v>1780.0</v>
      </c>
      <c r="AF9" s="159">
        <f t="shared" si="10"/>
        <v>6900</v>
      </c>
      <c r="AG9" s="193">
        <v>1700.0</v>
      </c>
      <c r="AH9" s="193">
        <v>1710.0</v>
      </c>
      <c r="AI9" s="193">
        <v>1730.0</v>
      </c>
      <c r="AJ9" s="193">
        <v>1760.0</v>
      </c>
      <c r="AK9" s="159">
        <f t="shared" si="11"/>
        <v>7010</v>
      </c>
      <c r="AL9" s="193">
        <v>1740.0</v>
      </c>
      <c r="AM9" s="193">
        <v>1770.0</v>
      </c>
      <c r="AN9" s="193">
        <v>1720.0</v>
      </c>
      <c r="AO9" s="193">
        <v>1780.0</v>
      </c>
      <c r="AP9" s="157">
        <f t="shared" si="12"/>
        <v>41990</v>
      </c>
      <c r="AQ9" s="158">
        <f t="shared" si="13"/>
        <v>20950</v>
      </c>
      <c r="AR9" s="159">
        <f t="shared" si="14"/>
        <v>7010</v>
      </c>
      <c r="AS9" s="193">
        <v>1740.0</v>
      </c>
      <c r="AT9" s="193">
        <v>1770.0</v>
      </c>
      <c r="AU9" s="193">
        <v>1720.0</v>
      </c>
      <c r="AV9" s="193">
        <v>1780.0</v>
      </c>
      <c r="AW9" s="159">
        <f t="shared" si="15"/>
        <v>7040</v>
      </c>
      <c r="AX9" s="193">
        <v>1740.0</v>
      </c>
      <c r="AY9" s="193">
        <v>1750.0</v>
      </c>
      <c r="AZ9" s="193">
        <v>1770.0</v>
      </c>
      <c r="BA9" s="193">
        <v>1780.0</v>
      </c>
      <c r="BB9" s="159">
        <f t="shared" si="16"/>
        <v>6900</v>
      </c>
      <c r="BC9" s="193">
        <v>1700.0</v>
      </c>
      <c r="BD9" s="193">
        <v>1710.0</v>
      </c>
      <c r="BE9" s="193">
        <v>1730.0</v>
      </c>
      <c r="BF9" s="193">
        <v>1760.0</v>
      </c>
      <c r="BG9" s="158">
        <f t="shared" si="17"/>
        <v>21040</v>
      </c>
      <c r="BH9" s="159">
        <f t="shared" si="18"/>
        <v>7010</v>
      </c>
      <c r="BI9" s="193">
        <v>1800.0</v>
      </c>
      <c r="BJ9" s="193">
        <v>1780.0</v>
      </c>
      <c r="BK9" s="193">
        <v>1700.0</v>
      </c>
      <c r="BL9" s="193">
        <v>1730.0</v>
      </c>
      <c r="BM9" s="159">
        <f t="shared" si="19"/>
        <v>7080</v>
      </c>
      <c r="BN9" s="193">
        <v>1770.0</v>
      </c>
      <c r="BO9" s="193">
        <v>1810.0</v>
      </c>
      <c r="BP9" s="193">
        <v>1800.0</v>
      </c>
      <c r="BQ9" s="193">
        <v>1700.0</v>
      </c>
      <c r="BR9" s="159">
        <f t="shared" si="20"/>
        <v>6950</v>
      </c>
      <c r="BS9" s="193">
        <v>1700.0</v>
      </c>
      <c r="BT9" s="193">
        <v>1740.0</v>
      </c>
      <c r="BU9" s="193">
        <v>1760.0</v>
      </c>
      <c r="BV9" s="193">
        <v>1750.0</v>
      </c>
      <c r="BW9" s="156">
        <f t="shared" si="21"/>
        <v>83980</v>
      </c>
      <c r="BX9" s="157">
        <f t="shared" si="22"/>
        <v>41990</v>
      </c>
      <c r="BY9" s="158">
        <f t="shared" si="23"/>
        <v>20950</v>
      </c>
      <c r="BZ9" s="159">
        <f t="shared" si="24"/>
        <v>6900</v>
      </c>
      <c r="CA9" s="193">
        <v>1700.0</v>
      </c>
      <c r="CB9" s="193">
        <v>1710.0</v>
      </c>
      <c r="CC9" s="193">
        <v>1730.0</v>
      </c>
      <c r="CD9" s="193">
        <v>1760.0</v>
      </c>
      <c r="CE9" s="159">
        <f t="shared" si="25"/>
        <v>7010</v>
      </c>
      <c r="CF9" s="193">
        <v>1740.0</v>
      </c>
      <c r="CG9" s="193">
        <v>1770.0</v>
      </c>
      <c r="CH9" s="193">
        <v>1720.0</v>
      </c>
      <c r="CI9" s="193">
        <v>1780.0</v>
      </c>
      <c r="CJ9" s="159">
        <f t="shared" si="26"/>
        <v>7040</v>
      </c>
      <c r="CK9" s="193">
        <v>1740.0</v>
      </c>
      <c r="CL9" s="193">
        <v>1750.0</v>
      </c>
      <c r="CM9" s="193">
        <v>1770.0</v>
      </c>
      <c r="CN9" s="193">
        <v>1780.0</v>
      </c>
      <c r="CO9" s="158">
        <f t="shared" si="27"/>
        <v>21040</v>
      </c>
      <c r="CP9" s="159">
        <f t="shared" si="28"/>
        <v>6950</v>
      </c>
      <c r="CQ9" s="193">
        <v>1700.0</v>
      </c>
      <c r="CR9" s="193">
        <v>1740.0</v>
      </c>
      <c r="CS9" s="193">
        <v>1760.0</v>
      </c>
      <c r="CT9" s="193">
        <v>1750.0</v>
      </c>
      <c r="CU9" s="159">
        <f t="shared" si="29"/>
        <v>7010</v>
      </c>
      <c r="CV9" s="193">
        <v>1800.0</v>
      </c>
      <c r="CW9" s="193">
        <v>1780.0</v>
      </c>
      <c r="CX9" s="193">
        <v>1700.0</v>
      </c>
      <c r="CY9" s="193">
        <v>1730.0</v>
      </c>
      <c r="CZ9" s="159">
        <f t="shared" si="30"/>
        <v>7080</v>
      </c>
      <c r="DA9" s="193">
        <v>1770.0</v>
      </c>
      <c r="DB9" s="193">
        <v>1810.0</v>
      </c>
      <c r="DC9" s="193">
        <v>1800.0</v>
      </c>
      <c r="DD9" s="193">
        <v>1700.0</v>
      </c>
      <c r="DE9" s="157">
        <f t="shared" si="31"/>
        <v>41990</v>
      </c>
      <c r="DF9" s="158">
        <f t="shared" si="32"/>
        <v>21040</v>
      </c>
      <c r="DG9" s="159">
        <f t="shared" si="33"/>
        <v>7080</v>
      </c>
      <c r="DH9" s="193">
        <v>1770.0</v>
      </c>
      <c r="DI9" s="193">
        <v>1810.0</v>
      </c>
      <c r="DJ9" s="193">
        <v>1800.0</v>
      </c>
      <c r="DK9" s="193">
        <v>1700.0</v>
      </c>
      <c r="DL9" s="159">
        <f t="shared" si="34"/>
        <v>6950</v>
      </c>
      <c r="DM9" s="193">
        <v>1700.0</v>
      </c>
      <c r="DN9" s="193">
        <v>1740.0</v>
      </c>
      <c r="DO9" s="193">
        <v>1760.0</v>
      </c>
      <c r="DP9" s="193">
        <v>1750.0</v>
      </c>
      <c r="DQ9" s="159">
        <f t="shared" si="35"/>
        <v>7010</v>
      </c>
      <c r="DR9" s="193">
        <v>1800.0</v>
      </c>
      <c r="DS9" s="193">
        <v>1780.0</v>
      </c>
      <c r="DT9" s="193">
        <v>1700.0</v>
      </c>
      <c r="DU9" s="193">
        <v>1730.0</v>
      </c>
      <c r="DV9" s="158">
        <f t="shared" si="36"/>
        <v>20950</v>
      </c>
      <c r="DW9" s="159">
        <f t="shared" si="37"/>
        <v>7010</v>
      </c>
      <c r="DX9" s="193">
        <v>1740.0</v>
      </c>
      <c r="DY9" s="193">
        <v>1770.0</v>
      </c>
      <c r="DZ9" s="193">
        <v>1720.0</v>
      </c>
      <c r="EA9" s="193">
        <v>1780.0</v>
      </c>
      <c r="EB9" s="159">
        <f t="shared" si="38"/>
        <v>6900</v>
      </c>
      <c r="EC9" s="193">
        <v>1700.0</v>
      </c>
      <c r="ED9" s="193">
        <v>1710.0</v>
      </c>
      <c r="EE9" s="193">
        <v>1730.0</v>
      </c>
      <c r="EF9" s="193">
        <v>1760.0</v>
      </c>
      <c r="EG9" s="159">
        <f t="shared" si="39"/>
        <v>7040</v>
      </c>
      <c r="EH9" s="193">
        <v>1740.0</v>
      </c>
      <c r="EI9" s="193">
        <v>1750.0</v>
      </c>
      <c r="EJ9" s="193">
        <v>1770.0</v>
      </c>
      <c r="EK9" s="193">
        <v>1780.0</v>
      </c>
      <c r="EL9" s="156">
        <f t="shared" si="40"/>
        <v>83980</v>
      </c>
      <c r="EM9" s="157">
        <f t="shared" si="41"/>
        <v>41990</v>
      </c>
      <c r="EN9" s="158">
        <f t="shared" si="42"/>
        <v>20950</v>
      </c>
      <c r="EO9" s="159">
        <f t="shared" si="43"/>
        <v>6900</v>
      </c>
      <c r="EP9" s="193">
        <v>1700.0</v>
      </c>
      <c r="EQ9" s="193">
        <v>1710.0</v>
      </c>
      <c r="ER9" s="193">
        <v>1730.0</v>
      </c>
      <c r="ES9" s="193">
        <v>1760.0</v>
      </c>
      <c r="ET9" s="159">
        <f t="shared" si="44"/>
        <v>7040</v>
      </c>
      <c r="EU9" s="193">
        <v>1740.0</v>
      </c>
      <c r="EV9" s="193">
        <v>1750.0</v>
      </c>
      <c r="EW9" s="193">
        <v>1770.0</v>
      </c>
      <c r="EX9" s="193">
        <v>1780.0</v>
      </c>
      <c r="EY9" s="159">
        <f t="shared" si="45"/>
        <v>7010</v>
      </c>
      <c r="EZ9" s="193">
        <v>1740.0</v>
      </c>
      <c r="FA9" s="193">
        <v>1770.0</v>
      </c>
      <c r="FB9" s="193">
        <v>1720.0</v>
      </c>
      <c r="FC9" s="193">
        <v>1780.0</v>
      </c>
      <c r="FD9" s="158">
        <f t="shared" si="46"/>
        <v>21040</v>
      </c>
      <c r="FE9" s="159">
        <f t="shared" si="47"/>
        <v>6950</v>
      </c>
      <c r="FF9" s="193">
        <v>1700.0</v>
      </c>
      <c r="FG9" s="193">
        <v>1740.0</v>
      </c>
      <c r="FH9" s="193">
        <v>1760.0</v>
      </c>
      <c r="FI9" s="193">
        <v>1750.0</v>
      </c>
      <c r="FJ9" s="159">
        <f t="shared" si="48"/>
        <v>7010</v>
      </c>
      <c r="FK9" s="193">
        <v>1800.0</v>
      </c>
      <c r="FL9" s="193">
        <v>1780.0</v>
      </c>
      <c r="FM9" s="193">
        <v>1700.0</v>
      </c>
      <c r="FN9" s="193">
        <v>1730.0</v>
      </c>
      <c r="FO9" s="159">
        <f t="shared" si="49"/>
        <v>7080</v>
      </c>
      <c r="FP9" s="193">
        <v>1770.0</v>
      </c>
      <c r="FQ9" s="193">
        <v>1810.0</v>
      </c>
      <c r="FR9" s="193">
        <v>1800.0</v>
      </c>
      <c r="FS9" s="193">
        <v>1700.0</v>
      </c>
      <c r="FT9" s="157">
        <f t="shared" si="50"/>
        <v>41990</v>
      </c>
      <c r="FU9" s="158">
        <f t="shared" si="51"/>
        <v>21040</v>
      </c>
      <c r="FV9" s="159">
        <f t="shared" si="52"/>
        <v>7080</v>
      </c>
      <c r="FW9" s="193">
        <v>1770.0</v>
      </c>
      <c r="FX9" s="193">
        <v>1810.0</v>
      </c>
      <c r="FY9" s="193">
        <v>1800.0</v>
      </c>
      <c r="FZ9" s="193">
        <v>1700.0</v>
      </c>
      <c r="GA9" s="159">
        <f t="shared" si="53"/>
        <v>6950</v>
      </c>
      <c r="GB9" s="193">
        <v>1700.0</v>
      </c>
      <c r="GC9" s="193">
        <v>1740.0</v>
      </c>
      <c r="GD9" s="193">
        <v>1760.0</v>
      </c>
      <c r="GE9" s="193">
        <v>1750.0</v>
      </c>
      <c r="GF9" s="159">
        <f t="shared" si="54"/>
        <v>7010</v>
      </c>
      <c r="GG9" s="193">
        <v>1800.0</v>
      </c>
      <c r="GH9" s="193">
        <v>1780.0</v>
      </c>
      <c r="GI9" s="193">
        <v>1700.0</v>
      </c>
      <c r="GJ9" s="193">
        <v>1730.0</v>
      </c>
      <c r="GK9" s="158">
        <f t="shared" si="55"/>
        <v>20950</v>
      </c>
      <c r="GL9" s="159">
        <f t="shared" si="56"/>
        <v>7040</v>
      </c>
      <c r="GM9" s="193">
        <v>1740.0</v>
      </c>
      <c r="GN9" s="193">
        <v>1750.0</v>
      </c>
      <c r="GO9" s="193">
        <v>1770.0</v>
      </c>
      <c r="GP9" s="193">
        <v>1780.0</v>
      </c>
      <c r="GQ9" s="159">
        <f t="shared" si="57"/>
        <v>6900</v>
      </c>
      <c r="GR9" s="193">
        <v>1700.0</v>
      </c>
      <c r="GS9" s="193">
        <v>1710.0</v>
      </c>
      <c r="GT9" s="193">
        <v>1730.0</v>
      </c>
      <c r="GU9" s="193">
        <v>1760.0</v>
      </c>
      <c r="GV9" s="159">
        <f t="shared" si="58"/>
        <v>7010</v>
      </c>
      <c r="GW9" s="193">
        <v>1740.0</v>
      </c>
      <c r="GX9" s="193">
        <v>1770.0</v>
      </c>
      <c r="GY9" s="193">
        <v>1720.0</v>
      </c>
      <c r="GZ9" s="193">
        <v>1780.0</v>
      </c>
      <c r="HA9" s="15"/>
      <c r="HB9" s="15"/>
    </row>
    <row r="10" ht="15.75" customHeight="1">
      <c r="A10" s="13"/>
      <c r="B10" s="82"/>
      <c r="C10" s="152">
        <v>2.0</v>
      </c>
      <c r="D10" s="205" t="s">
        <v>40</v>
      </c>
      <c r="E10" s="154" t="s">
        <v>19</v>
      </c>
      <c r="F10" s="15"/>
      <c r="G10" s="155">
        <f t="shared" si="1"/>
        <v>50400</v>
      </c>
      <c r="H10" s="156">
        <f t="shared" si="2"/>
        <v>16800</v>
      </c>
      <c r="I10" s="157">
        <f t="shared" si="3"/>
        <v>8400</v>
      </c>
      <c r="J10" s="158">
        <f t="shared" si="4"/>
        <v>4200</v>
      </c>
      <c r="K10" s="159">
        <f t="shared" si="5"/>
        <v>1400</v>
      </c>
      <c r="L10" s="160">
        <v>350.0</v>
      </c>
      <c r="M10" s="160">
        <v>350.0</v>
      </c>
      <c r="N10" s="160">
        <v>350.0</v>
      </c>
      <c r="O10" s="160">
        <v>350.0</v>
      </c>
      <c r="P10" s="159">
        <f t="shared" si="6"/>
        <v>1400</v>
      </c>
      <c r="Q10" s="160">
        <v>350.0</v>
      </c>
      <c r="R10" s="160">
        <v>350.0</v>
      </c>
      <c r="S10" s="160">
        <v>350.0</v>
      </c>
      <c r="T10" s="160">
        <v>350.0</v>
      </c>
      <c r="U10" s="159">
        <f t="shared" si="7"/>
        <v>1400</v>
      </c>
      <c r="V10" s="206">
        <v>350.0</v>
      </c>
      <c r="W10" s="164">
        <v>350.0</v>
      </c>
      <c r="X10" s="164">
        <v>350.0</v>
      </c>
      <c r="Y10" s="164">
        <v>350.0</v>
      </c>
      <c r="Z10" s="158">
        <f t="shared" si="8"/>
        <v>4200</v>
      </c>
      <c r="AA10" s="159">
        <f t="shared" si="9"/>
        <v>1400</v>
      </c>
      <c r="AB10" s="206">
        <v>350.0</v>
      </c>
      <c r="AC10" s="164">
        <v>350.0</v>
      </c>
      <c r="AD10" s="164">
        <v>350.0</v>
      </c>
      <c r="AE10" s="164">
        <v>350.0</v>
      </c>
      <c r="AF10" s="159">
        <f t="shared" si="10"/>
        <v>1400</v>
      </c>
      <c r="AG10" s="206">
        <v>350.0</v>
      </c>
      <c r="AH10" s="164">
        <v>350.0</v>
      </c>
      <c r="AI10" s="164">
        <v>350.0</v>
      </c>
      <c r="AJ10" s="164">
        <v>350.0</v>
      </c>
      <c r="AK10" s="159">
        <f t="shared" si="11"/>
        <v>1400</v>
      </c>
      <c r="AL10" s="206">
        <v>350.0</v>
      </c>
      <c r="AM10" s="164">
        <v>350.0</v>
      </c>
      <c r="AN10" s="164">
        <v>350.0</v>
      </c>
      <c r="AO10" s="164">
        <v>350.0</v>
      </c>
      <c r="AP10" s="157">
        <f t="shared" si="12"/>
        <v>8400</v>
      </c>
      <c r="AQ10" s="158">
        <f t="shared" si="13"/>
        <v>4200</v>
      </c>
      <c r="AR10" s="159">
        <f t="shared" si="14"/>
        <v>1400</v>
      </c>
      <c r="AS10" s="206">
        <v>350.0</v>
      </c>
      <c r="AT10" s="164">
        <v>350.0</v>
      </c>
      <c r="AU10" s="164">
        <v>350.0</v>
      </c>
      <c r="AV10" s="164">
        <v>350.0</v>
      </c>
      <c r="AW10" s="159">
        <f t="shared" si="15"/>
        <v>1400</v>
      </c>
      <c r="AX10" s="206">
        <v>350.0</v>
      </c>
      <c r="AY10" s="164">
        <v>350.0</v>
      </c>
      <c r="AZ10" s="164">
        <v>350.0</v>
      </c>
      <c r="BA10" s="164">
        <v>350.0</v>
      </c>
      <c r="BB10" s="159">
        <f t="shared" si="16"/>
        <v>1400</v>
      </c>
      <c r="BC10" s="206">
        <v>350.0</v>
      </c>
      <c r="BD10" s="164">
        <v>350.0</v>
      </c>
      <c r="BE10" s="164">
        <v>350.0</v>
      </c>
      <c r="BF10" s="164">
        <v>350.0</v>
      </c>
      <c r="BG10" s="158">
        <f t="shared" si="17"/>
        <v>4200</v>
      </c>
      <c r="BH10" s="159">
        <f t="shared" si="18"/>
        <v>1400</v>
      </c>
      <c r="BI10" s="160">
        <v>350.0</v>
      </c>
      <c r="BJ10" s="160">
        <v>350.0</v>
      </c>
      <c r="BK10" s="160">
        <v>350.0</v>
      </c>
      <c r="BL10" s="160">
        <v>350.0</v>
      </c>
      <c r="BM10" s="159">
        <f t="shared" si="19"/>
        <v>1400</v>
      </c>
      <c r="BN10" s="206">
        <v>350.0</v>
      </c>
      <c r="BO10" s="164">
        <v>350.0</v>
      </c>
      <c r="BP10" s="164">
        <v>350.0</v>
      </c>
      <c r="BQ10" s="164">
        <v>350.0</v>
      </c>
      <c r="BR10" s="159">
        <f t="shared" si="20"/>
        <v>1400</v>
      </c>
      <c r="BS10" s="160">
        <v>350.0</v>
      </c>
      <c r="BT10" s="160">
        <v>350.0</v>
      </c>
      <c r="BU10" s="160">
        <v>350.0</v>
      </c>
      <c r="BV10" s="160">
        <v>350.0</v>
      </c>
      <c r="BW10" s="156">
        <f t="shared" si="21"/>
        <v>16800</v>
      </c>
      <c r="BX10" s="157">
        <f t="shared" si="22"/>
        <v>8400</v>
      </c>
      <c r="BY10" s="158">
        <f t="shared" si="23"/>
        <v>4200</v>
      </c>
      <c r="BZ10" s="159">
        <f t="shared" si="24"/>
        <v>1400</v>
      </c>
      <c r="CA10" s="206">
        <v>350.0</v>
      </c>
      <c r="CB10" s="164">
        <v>350.0</v>
      </c>
      <c r="CC10" s="164">
        <v>350.0</v>
      </c>
      <c r="CD10" s="164">
        <v>350.0</v>
      </c>
      <c r="CE10" s="159">
        <f t="shared" si="25"/>
        <v>1400</v>
      </c>
      <c r="CF10" s="206">
        <v>350.0</v>
      </c>
      <c r="CG10" s="164">
        <v>350.0</v>
      </c>
      <c r="CH10" s="164">
        <v>350.0</v>
      </c>
      <c r="CI10" s="164">
        <v>350.0</v>
      </c>
      <c r="CJ10" s="159">
        <f t="shared" si="26"/>
        <v>1400</v>
      </c>
      <c r="CK10" s="206">
        <v>350.0</v>
      </c>
      <c r="CL10" s="164">
        <v>350.0</v>
      </c>
      <c r="CM10" s="164">
        <v>350.0</v>
      </c>
      <c r="CN10" s="164">
        <v>350.0</v>
      </c>
      <c r="CO10" s="158">
        <f t="shared" si="27"/>
        <v>4200</v>
      </c>
      <c r="CP10" s="159">
        <f t="shared" si="28"/>
        <v>1400</v>
      </c>
      <c r="CQ10" s="160">
        <v>350.0</v>
      </c>
      <c r="CR10" s="160">
        <v>350.0</v>
      </c>
      <c r="CS10" s="160">
        <v>350.0</v>
      </c>
      <c r="CT10" s="160">
        <v>350.0</v>
      </c>
      <c r="CU10" s="159">
        <f t="shared" si="29"/>
        <v>1400</v>
      </c>
      <c r="CV10" s="160">
        <v>350.0</v>
      </c>
      <c r="CW10" s="160">
        <v>350.0</v>
      </c>
      <c r="CX10" s="160">
        <v>350.0</v>
      </c>
      <c r="CY10" s="160">
        <v>350.0</v>
      </c>
      <c r="CZ10" s="159">
        <f t="shared" si="30"/>
        <v>1400</v>
      </c>
      <c r="DA10" s="206">
        <v>350.0</v>
      </c>
      <c r="DB10" s="164">
        <v>350.0</v>
      </c>
      <c r="DC10" s="164">
        <v>350.0</v>
      </c>
      <c r="DD10" s="164">
        <v>350.0</v>
      </c>
      <c r="DE10" s="157">
        <f t="shared" si="31"/>
        <v>8400</v>
      </c>
      <c r="DF10" s="158">
        <f t="shared" si="32"/>
        <v>4200</v>
      </c>
      <c r="DG10" s="159">
        <f t="shared" si="33"/>
        <v>1400</v>
      </c>
      <c r="DH10" s="206">
        <v>350.0</v>
      </c>
      <c r="DI10" s="164">
        <v>350.0</v>
      </c>
      <c r="DJ10" s="164">
        <v>350.0</v>
      </c>
      <c r="DK10" s="164">
        <v>350.0</v>
      </c>
      <c r="DL10" s="159">
        <f t="shared" si="34"/>
        <v>1400</v>
      </c>
      <c r="DM10" s="160">
        <v>350.0</v>
      </c>
      <c r="DN10" s="160">
        <v>350.0</v>
      </c>
      <c r="DO10" s="160">
        <v>350.0</v>
      </c>
      <c r="DP10" s="160">
        <v>350.0</v>
      </c>
      <c r="DQ10" s="159">
        <f t="shared" si="35"/>
        <v>1400</v>
      </c>
      <c r="DR10" s="160">
        <v>350.0</v>
      </c>
      <c r="DS10" s="160">
        <v>350.0</v>
      </c>
      <c r="DT10" s="160">
        <v>350.0</v>
      </c>
      <c r="DU10" s="160">
        <v>350.0</v>
      </c>
      <c r="DV10" s="158">
        <f t="shared" si="36"/>
        <v>4200</v>
      </c>
      <c r="DW10" s="159">
        <f t="shared" si="37"/>
        <v>1400</v>
      </c>
      <c r="DX10" s="206">
        <v>350.0</v>
      </c>
      <c r="DY10" s="164">
        <v>350.0</v>
      </c>
      <c r="DZ10" s="164">
        <v>350.0</v>
      </c>
      <c r="EA10" s="164">
        <v>350.0</v>
      </c>
      <c r="EB10" s="159">
        <f t="shared" si="38"/>
        <v>1400</v>
      </c>
      <c r="EC10" s="206">
        <v>350.0</v>
      </c>
      <c r="ED10" s="164">
        <v>350.0</v>
      </c>
      <c r="EE10" s="164">
        <v>350.0</v>
      </c>
      <c r="EF10" s="164">
        <v>350.0</v>
      </c>
      <c r="EG10" s="159">
        <f t="shared" si="39"/>
        <v>1400</v>
      </c>
      <c r="EH10" s="206">
        <v>350.0</v>
      </c>
      <c r="EI10" s="164">
        <v>350.0</v>
      </c>
      <c r="EJ10" s="164">
        <v>350.0</v>
      </c>
      <c r="EK10" s="164">
        <v>350.0</v>
      </c>
      <c r="EL10" s="156">
        <f t="shared" si="40"/>
        <v>16800</v>
      </c>
      <c r="EM10" s="157">
        <f t="shared" si="41"/>
        <v>8400</v>
      </c>
      <c r="EN10" s="158">
        <f t="shared" si="42"/>
        <v>4200</v>
      </c>
      <c r="EO10" s="159">
        <f t="shared" si="43"/>
        <v>1400</v>
      </c>
      <c r="EP10" s="206">
        <v>350.0</v>
      </c>
      <c r="EQ10" s="164">
        <v>350.0</v>
      </c>
      <c r="ER10" s="164">
        <v>350.0</v>
      </c>
      <c r="ES10" s="164">
        <v>350.0</v>
      </c>
      <c r="ET10" s="159">
        <f t="shared" si="44"/>
        <v>1400</v>
      </c>
      <c r="EU10" s="206">
        <v>350.0</v>
      </c>
      <c r="EV10" s="164">
        <v>350.0</v>
      </c>
      <c r="EW10" s="164">
        <v>350.0</v>
      </c>
      <c r="EX10" s="164">
        <v>350.0</v>
      </c>
      <c r="EY10" s="159">
        <f t="shared" si="45"/>
        <v>1400</v>
      </c>
      <c r="EZ10" s="206">
        <v>350.0</v>
      </c>
      <c r="FA10" s="164">
        <v>350.0</v>
      </c>
      <c r="FB10" s="164">
        <v>350.0</v>
      </c>
      <c r="FC10" s="164">
        <v>350.0</v>
      </c>
      <c r="FD10" s="158">
        <f t="shared" si="46"/>
        <v>4200</v>
      </c>
      <c r="FE10" s="159">
        <f t="shared" si="47"/>
        <v>1400</v>
      </c>
      <c r="FF10" s="160">
        <v>350.0</v>
      </c>
      <c r="FG10" s="160">
        <v>350.0</v>
      </c>
      <c r="FH10" s="160">
        <v>350.0</v>
      </c>
      <c r="FI10" s="160">
        <v>350.0</v>
      </c>
      <c r="FJ10" s="159">
        <f t="shared" si="48"/>
        <v>1400</v>
      </c>
      <c r="FK10" s="160">
        <v>350.0</v>
      </c>
      <c r="FL10" s="160">
        <v>350.0</v>
      </c>
      <c r="FM10" s="160">
        <v>350.0</v>
      </c>
      <c r="FN10" s="160">
        <v>350.0</v>
      </c>
      <c r="FO10" s="159">
        <f t="shared" si="49"/>
        <v>1400</v>
      </c>
      <c r="FP10" s="206">
        <v>350.0</v>
      </c>
      <c r="FQ10" s="164">
        <v>350.0</v>
      </c>
      <c r="FR10" s="164">
        <v>350.0</v>
      </c>
      <c r="FS10" s="164">
        <v>350.0</v>
      </c>
      <c r="FT10" s="157">
        <f t="shared" si="50"/>
        <v>8400</v>
      </c>
      <c r="FU10" s="158">
        <f t="shared" si="51"/>
        <v>4200</v>
      </c>
      <c r="FV10" s="159">
        <f t="shared" si="52"/>
        <v>1400</v>
      </c>
      <c r="FW10" s="206">
        <v>350.0</v>
      </c>
      <c r="FX10" s="164">
        <v>350.0</v>
      </c>
      <c r="FY10" s="164">
        <v>350.0</v>
      </c>
      <c r="FZ10" s="164">
        <v>350.0</v>
      </c>
      <c r="GA10" s="159">
        <f t="shared" si="53"/>
        <v>1400</v>
      </c>
      <c r="GB10" s="160">
        <v>350.0</v>
      </c>
      <c r="GC10" s="160">
        <v>350.0</v>
      </c>
      <c r="GD10" s="160">
        <v>350.0</v>
      </c>
      <c r="GE10" s="160">
        <v>350.0</v>
      </c>
      <c r="GF10" s="159">
        <f t="shared" si="54"/>
        <v>1400</v>
      </c>
      <c r="GG10" s="160">
        <v>350.0</v>
      </c>
      <c r="GH10" s="160">
        <v>350.0</v>
      </c>
      <c r="GI10" s="160">
        <v>350.0</v>
      </c>
      <c r="GJ10" s="160">
        <v>350.0</v>
      </c>
      <c r="GK10" s="158">
        <f t="shared" si="55"/>
        <v>4200</v>
      </c>
      <c r="GL10" s="159">
        <f t="shared" si="56"/>
        <v>1400</v>
      </c>
      <c r="GM10" s="206">
        <v>350.0</v>
      </c>
      <c r="GN10" s="164">
        <v>350.0</v>
      </c>
      <c r="GO10" s="164">
        <v>350.0</v>
      </c>
      <c r="GP10" s="164">
        <v>350.0</v>
      </c>
      <c r="GQ10" s="159">
        <f t="shared" si="57"/>
        <v>1400</v>
      </c>
      <c r="GR10" s="206">
        <v>350.0</v>
      </c>
      <c r="GS10" s="164">
        <v>350.0</v>
      </c>
      <c r="GT10" s="164">
        <v>350.0</v>
      </c>
      <c r="GU10" s="164">
        <v>350.0</v>
      </c>
      <c r="GV10" s="159">
        <f t="shared" si="58"/>
        <v>1400</v>
      </c>
      <c r="GW10" s="206">
        <v>350.0</v>
      </c>
      <c r="GX10" s="164">
        <v>350.0</v>
      </c>
      <c r="GY10" s="164">
        <v>350.0</v>
      </c>
      <c r="GZ10" s="164">
        <v>350.0</v>
      </c>
      <c r="HA10" s="15"/>
      <c r="HB10" s="15"/>
    </row>
    <row r="11" ht="15.75" customHeight="1">
      <c r="A11" s="13"/>
      <c r="B11" s="82"/>
      <c r="C11" s="78"/>
      <c r="E11" s="154" t="s">
        <v>26</v>
      </c>
      <c r="F11" s="15"/>
      <c r="G11" s="155">
        <f t="shared" si="1"/>
        <v>48312</v>
      </c>
      <c r="H11" s="156">
        <f t="shared" si="2"/>
        <v>16104</v>
      </c>
      <c r="I11" s="157">
        <f t="shared" si="3"/>
        <v>8052</v>
      </c>
      <c r="J11" s="158">
        <f t="shared" si="4"/>
        <v>4202</v>
      </c>
      <c r="K11" s="159">
        <f t="shared" si="5"/>
        <v>1385</v>
      </c>
      <c r="L11" s="193">
        <v>330.0</v>
      </c>
      <c r="M11" s="193">
        <v>345.0</v>
      </c>
      <c r="N11" s="193">
        <v>360.0</v>
      </c>
      <c r="O11" s="193">
        <v>350.0</v>
      </c>
      <c r="P11" s="159">
        <f t="shared" si="6"/>
        <v>1400</v>
      </c>
      <c r="Q11" s="193">
        <v>355.0</v>
      </c>
      <c r="R11" s="193">
        <v>360.0</v>
      </c>
      <c r="S11" s="193">
        <v>340.0</v>
      </c>
      <c r="T11" s="193">
        <v>345.0</v>
      </c>
      <c r="U11" s="159">
        <f t="shared" si="7"/>
        <v>1417</v>
      </c>
      <c r="V11" s="193">
        <v>352.0</v>
      </c>
      <c r="W11" s="193">
        <v>365.0</v>
      </c>
      <c r="X11" s="193">
        <v>355.0</v>
      </c>
      <c r="Y11" s="193">
        <v>345.0</v>
      </c>
      <c r="Z11" s="158">
        <f t="shared" si="8"/>
        <v>3850</v>
      </c>
      <c r="AA11" s="159">
        <f t="shared" si="9"/>
        <v>1310</v>
      </c>
      <c r="AB11" s="193">
        <v>330.0</v>
      </c>
      <c r="AC11" s="193">
        <v>335.0</v>
      </c>
      <c r="AD11" s="193">
        <v>320.0</v>
      </c>
      <c r="AE11" s="193">
        <v>325.0</v>
      </c>
      <c r="AF11" s="159">
        <f t="shared" si="10"/>
        <v>1230</v>
      </c>
      <c r="AG11" s="193">
        <v>300.0</v>
      </c>
      <c r="AH11" s="193">
        <v>310.0</v>
      </c>
      <c r="AI11" s="193">
        <v>305.0</v>
      </c>
      <c r="AJ11" s="193">
        <v>315.0</v>
      </c>
      <c r="AK11" s="159">
        <f t="shared" si="11"/>
        <v>1310</v>
      </c>
      <c r="AL11" s="193">
        <v>320.0</v>
      </c>
      <c r="AM11" s="193">
        <v>325.0</v>
      </c>
      <c r="AN11" s="193">
        <v>330.0</v>
      </c>
      <c r="AO11" s="193">
        <v>335.0</v>
      </c>
      <c r="AP11" s="157">
        <f t="shared" si="12"/>
        <v>8052</v>
      </c>
      <c r="AQ11" s="158">
        <f t="shared" si="13"/>
        <v>3850</v>
      </c>
      <c r="AR11" s="159">
        <f t="shared" si="14"/>
        <v>1310</v>
      </c>
      <c r="AS11" s="193">
        <v>320.0</v>
      </c>
      <c r="AT11" s="193">
        <v>325.0</v>
      </c>
      <c r="AU11" s="193">
        <v>330.0</v>
      </c>
      <c r="AV11" s="193">
        <v>335.0</v>
      </c>
      <c r="AW11" s="159">
        <f t="shared" si="15"/>
        <v>1310</v>
      </c>
      <c r="AX11" s="193">
        <v>330.0</v>
      </c>
      <c r="AY11" s="193">
        <v>335.0</v>
      </c>
      <c r="AZ11" s="193">
        <v>320.0</v>
      </c>
      <c r="BA11" s="193">
        <v>325.0</v>
      </c>
      <c r="BB11" s="159">
        <f t="shared" si="16"/>
        <v>1230</v>
      </c>
      <c r="BC11" s="193">
        <v>300.0</v>
      </c>
      <c r="BD11" s="193">
        <v>310.0</v>
      </c>
      <c r="BE11" s="193">
        <v>305.0</v>
      </c>
      <c r="BF11" s="193">
        <v>315.0</v>
      </c>
      <c r="BG11" s="158">
        <f t="shared" si="17"/>
        <v>4202</v>
      </c>
      <c r="BH11" s="159">
        <f t="shared" si="18"/>
        <v>1400</v>
      </c>
      <c r="BI11" s="193">
        <v>355.0</v>
      </c>
      <c r="BJ11" s="193">
        <v>360.0</v>
      </c>
      <c r="BK11" s="193">
        <v>340.0</v>
      </c>
      <c r="BL11" s="193">
        <v>345.0</v>
      </c>
      <c r="BM11" s="159">
        <f t="shared" si="19"/>
        <v>1417</v>
      </c>
      <c r="BN11" s="193">
        <v>352.0</v>
      </c>
      <c r="BO11" s="193">
        <v>365.0</v>
      </c>
      <c r="BP11" s="193">
        <v>355.0</v>
      </c>
      <c r="BQ11" s="193">
        <v>345.0</v>
      </c>
      <c r="BR11" s="159">
        <f t="shared" si="20"/>
        <v>1385</v>
      </c>
      <c r="BS11" s="193">
        <v>330.0</v>
      </c>
      <c r="BT11" s="193">
        <v>345.0</v>
      </c>
      <c r="BU11" s="193">
        <v>360.0</v>
      </c>
      <c r="BV11" s="193">
        <v>350.0</v>
      </c>
      <c r="BW11" s="156">
        <f t="shared" si="21"/>
        <v>16104</v>
      </c>
      <c r="BX11" s="157">
        <f t="shared" si="22"/>
        <v>8052</v>
      </c>
      <c r="BY11" s="158">
        <f t="shared" si="23"/>
        <v>3850</v>
      </c>
      <c r="BZ11" s="159">
        <f t="shared" si="24"/>
        <v>1230</v>
      </c>
      <c r="CA11" s="193">
        <v>300.0</v>
      </c>
      <c r="CB11" s="193">
        <v>310.0</v>
      </c>
      <c r="CC11" s="193">
        <v>305.0</v>
      </c>
      <c r="CD11" s="193">
        <v>315.0</v>
      </c>
      <c r="CE11" s="159">
        <f t="shared" si="25"/>
        <v>1310</v>
      </c>
      <c r="CF11" s="193">
        <v>320.0</v>
      </c>
      <c r="CG11" s="193">
        <v>325.0</v>
      </c>
      <c r="CH11" s="193">
        <v>330.0</v>
      </c>
      <c r="CI11" s="193">
        <v>335.0</v>
      </c>
      <c r="CJ11" s="159">
        <f t="shared" si="26"/>
        <v>1310</v>
      </c>
      <c r="CK11" s="193">
        <v>330.0</v>
      </c>
      <c r="CL11" s="193">
        <v>335.0</v>
      </c>
      <c r="CM11" s="193">
        <v>320.0</v>
      </c>
      <c r="CN11" s="193">
        <v>325.0</v>
      </c>
      <c r="CO11" s="158">
        <f t="shared" si="27"/>
        <v>4202</v>
      </c>
      <c r="CP11" s="159">
        <f t="shared" si="28"/>
        <v>1385</v>
      </c>
      <c r="CQ11" s="193">
        <v>330.0</v>
      </c>
      <c r="CR11" s="193">
        <v>345.0</v>
      </c>
      <c r="CS11" s="193">
        <v>360.0</v>
      </c>
      <c r="CT11" s="193">
        <v>350.0</v>
      </c>
      <c r="CU11" s="159">
        <f t="shared" si="29"/>
        <v>1400</v>
      </c>
      <c r="CV11" s="193">
        <v>355.0</v>
      </c>
      <c r="CW11" s="193">
        <v>360.0</v>
      </c>
      <c r="CX11" s="193">
        <v>340.0</v>
      </c>
      <c r="CY11" s="193">
        <v>345.0</v>
      </c>
      <c r="CZ11" s="159">
        <f t="shared" si="30"/>
        <v>1417</v>
      </c>
      <c r="DA11" s="193">
        <v>352.0</v>
      </c>
      <c r="DB11" s="193">
        <v>365.0</v>
      </c>
      <c r="DC11" s="193">
        <v>355.0</v>
      </c>
      <c r="DD11" s="193">
        <v>345.0</v>
      </c>
      <c r="DE11" s="157">
        <f t="shared" si="31"/>
        <v>8052</v>
      </c>
      <c r="DF11" s="158">
        <f t="shared" si="32"/>
        <v>4202</v>
      </c>
      <c r="DG11" s="159">
        <f t="shared" si="33"/>
        <v>1417</v>
      </c>
      <c r="DH11" s="193">
        <v>352.0</v>
      </c>
      <c r="DI11" s="193">
        <v>365.0</v>
      </c>
      <c r="DJ11" s="193">
        <v>355.0</v>
      </c>
      <c r="DK11" s="193">
        <v>345.0</v>
      </c>
      <c r="DL11" s="159">
        <f t="shared" si="34"/>
        <v>1385</v>
      </c>
      <c r="DM11" s="193">
        <v>330.0</v>
      </c>
      <c r="DN11" s="193">
        <v>345.0</v>
      </c>
      <c r="DO11" s="193">
        <v>360.0</v>
      </c>
      <c r="DP11" s="193">
        <v>350.0</v>
      </c>
      <c r="DQ11" s="159">
        <f t="shared" si="35"/>
        <v>1400</v>
      </c>
      <c r="DR11" s="193">
        <v>355.0</v>
      </c>
      <c r="DS11" s="193">
        <v>360.0</v>
      </c>
      <c r="DT11" s="193">
        <v>340.0</v>
      </c>
      <c r="DU11" s="193">
        <v>345.0</v>
      </c>
      <c r="DV11" s="158">
        <f t="shared" si="36"/>
        <v>3850</v>
      </c>
      <c r="DW11" s="159">
        <f t="shared" si="37"/>
        <v>1310</v>
      </c>
      <c r="DX11" s="193">
        <v>320.0</v>
      </c>
      <c r="DY11" s="193">
        <v>325.0</v>
      </c>
      <c r="DZ11" s="193">
        <v>330.0</v>
      </c>
      <c r="EA11" s="193">
        <v>335.0</v>
      </c>
      <c r="EB11" s="159">
        <f t="shared" si="38"/>
        <v>1230</v>
      </c>
      <c r="EC11" s="193">
        <v>300.0</v>
      </c>
      <c r="ED11" s="193">
        <v>310.0</v>
      </c>
      <c r="EE11" s="193">
        <v>305.0</v>
      </c>
      <c r="EF11" s="193">
        <v>315.0</v>
      </c>
      <c r="EG11" s="159">
        <f t="shared" si="39"/>
        <v>1310</v>
      </c>
      <c r="EH11" s="193">
        <v>330.0</v>
      </c>
      <c r="EI11" s="193">
        <v>335.0</v>
      </c>
      <c r="EJ11" s="193">
        <v>320.0</v>
      </c>
      <c r="EK11" s="193">
        <v>325.0</v>
      </c>
      <c r="EL11" s="156">
        <f t="shared" si="40"/>
        <v>16104</v>
      </c>
      <c r="EM11" s="157">
        <f t="shared" si="41"/>
        <v>8052</v>
      </c>
      <c r="EN11" s="158">
        <f t="shared" si="42"/>
        <v>3850</v>
      </c>
      <c r="EO11" s="159">
        <f t="shared" si="43"/>
        <v>1230</v>
      </c>
      <c r="EP11" s="193">
        <v>300.0</v>
      </c>
      <c r="EQ11" s="193">
        <v>310.0</v>
      </c>
      <c r="ER11" s="193">
        <v>305.0</v>
      </c>
      <c r="ES11" s="193">
        <v>315.0</v>
      </c>
      <c r="ET11" s="159">
        <f t="shared" si="44"/>
        <v>1310</v>
      </c>
      <c r="EU11" s="193">
        <v>330.0</v>
      </c>
      <c r="EV11" s="193">
        <v>335.0</v>
      </c>
      <c r="EW11" s="193">
        <v>320.0</v>
      </c>
      <c r="EX11" s="193">
        <v>325.0</v>
      </c>
      <c r="EY11" s="159">
        <f t="shared" si="45"/>
        <v>1310</v>
      </c>
      <c r="EZ11" s="193">
        <v>320.0</v>
      </c>
      <c r="FA11" s="193">
        <v>325.0</v>
      </c>
      <c r="FB11" s="193">
        <v>330.0</v>
      </c>
      <c r="FC11" s="193">
        <v>335.0</v>
      </c>
      <c r="FD11" s="158">
        <f t="shared" si="46"/>
        <v>4202</v>
      </c>
      <c r="FE11" s="159">
        <f t="shared" si="47"/>
        <v>1385</v>
      </c>
      <c r="FF11" s="193">
        <v>330.0</v>
      </c>
      <c r="FG11" s="193">
        <v>345.0</v>
      </c>
      <c r="FH11" s="193">
        <v>360.0</v>
      </c>
      <c r="FI11" s="193">
        <v>350.0</v>
      </c>
      <c r="FJ11" s="159">
        <f t="shared" si="48"/>
        <v>1400</v>
      </c>
      <c r="FK11" s="193">
        <v>355.0</v>
      </c>
      <c r="FL11" s="193">
        <v>360.0</v>
      </c>
      <c r="FM11" s="193">
        <v>340.0</v>
      </c>
      <c r="FN11" s="193">
        <v>345.0</v>
      </c>
      <c r="FO11" s="159">
        <f t="shared" si="49"/>
        <v>1417</v>
      </c>
      <c r="FP11" s="193">
        <v>352.0</v>
      </c>
      <c r="FQ11" s="193">
        <v>365.0</v>
      </c>
      <c r="FR11" s="193">
        <v>355.0</v>
      </c>
      <c r="FS11" s="193">
        <v>345.0</v>
      </c>
      <c r="FT11" s="157">
        <f t="shared" si="50"/>
        <v>8052</v>
      </c>
      <c r="FU11" s="158">
        <f t="shared" si="51"/>
        <v>4202</v>
      </c>
      <c r="FV11" s="159">
        <f t="shared" si="52"/>
        <v>1417</v>
      </c>
      <c r="FW11" s="193">
        <v>352.0</v>
      </c>
      <c r="FX11" s="193">
        <v>365.0</v>
      </c>
      <c r="FY11" s="193">
        <v>355.0</v>
      </c>
      <c r="FZ11" s="193">
        <v>345.0</v>
      </c>
      <c r="GA11" s="159">
        <f t="shared" si="53"/>
        <v>1385</v>
      </c>
      <c r="GB11" s="193">
        <v>330.0</v>
      </c>
      <c r="GC11" s="193">
        <v>345.0</v>
      </c>
      <c r="GD11" s="193">
        <v>360.0</v>
      </c>
      <c r="GE11" s="193">
        <v>350.0</v>
      </c>
      <c r="GF11" s="159">
        <f t="shared" si="54"/>
        <v>1400</v>
      </c>
      <c r="GG11" s="193">
        <v>355.0</v>
      </c>
      <c r="GH11" s="193">
        <v>360.0</v>
      </c>
      <c r="GI11" s="193">
        <v>340.0</v>
      </c>
      <c r="GJ11" s="193">
        <v>345.0</v>
      </c>
      <c r="GK11" s="158">
        <f t="shared" si="55"/>
        <v>3850</v>
      </c>
      <c r="GL11" s="159">
        <f t="shared" si="56"/>
        <v>1310</v>
      </c>
      <c r="GM11" s="193">
        <v>330.0</v>
      </c>
      <c r="GN11" s="193">
        <v>335.0</v>
      </c>
      <c r="GO11" s="193">
        <v>320.0</v>
      </c>
      <c r="GP11" s="193">
        <v>325.0</v>
      </c>
      <c r="GQ11" s="159">
        <f t="shared" si="57"/>
        <v>1230</v>
      </c>
      <c r="GR11" s="193">
        <v>300.0</v>
      </c>
      <c r="GS11" s="193">
        <v>310.0</v>
      </c>
      <c r="GT11" s="193">
        <v>305.0</v>
      </c>
      <c r="GU11" s="193">
        <v>315.0</v>
      </c>
      <c r="GV11" s="159">
        <f t="shared" si="58"/>
        <v>1310</v>
      </c>
      <c r="GW11" s="193">
        <v>320.0</v>
      </c>
      <c r="GX11" s="193">
        <v>325.0</v>
      </c>
      <c r="GY11" s="193">
        <v>330.0</v>
      </c>
      <c r="GZ11" s="193">
        <v>335.0</v>
      </c>
      <c r="HA11" s="15"/>
      <c r="HB11" s="15"/>
    </row>
    <row r="12" ht="15.75" customHeight="1">
      <c r="A12" s="13"/>
      <c r="B12" s="82"/>
      <c r="C12" s="152">
        <v>3.0</v>
      </c>
      <c r="D12" s="153" t="s">
        <v>42</v>
      </c>
      <c r="E12" s="154" t="s">
        <v>19</v>
      </c>
      <c r="F12" s="15"/>
      <c r="G12" s="155">
        <f t="shared" si="1"/>
        <v>10080</v>
      </c>
      <c r="H12" s="156">
        <f t="shared" si="2"/>
        <v>3360</v>
      </c>
      <c r="I12" s="157">
        <f t="shared" si="3"/>
        <v>1680</v>
      </c>
      <c r="J12" s="158">
        <f t="shared" si="4"/>
        <v>840</v>
      </c>
      <c r="K12" s="159">
        <f t="shared" si="5"/>
        <v>280</v>
      </c>
      <c r="L12" s="207">
        <v>70.0</v>
      </c>
      <c r="M12" s="207">
        <v>70.0</v>
      </c>
      <c r="N12" s="207">
        <v>70.0</v>
      </c>
      <c r="O12" s="207">
        <v>70.0</v>
      </c>
      <c r="P12" s="159">
        <f t="shared" si="6"/>
        <v>280</v>
      </c>
      <c r="Q12" s="207">
        <v>70.0</v>
      </c>
      <c r="R12" s="207">
        <v>70.0</v>
      </c>
      <c r="S12" s="207">
        <v>70.0</v>
      </c>
      <c r="T12" s="207">
        <v>70.0</v>
      </c>
      <c r="U12" s="159">
        <f t="shared" si="7"/>
        <v>280</v>
      </c>
      <c r="V12" s="207">
        <v>70.0</v>
      </c>
      <c r="W12" s="207">
        <v>70.0</v>
      </c>
      <c r="X12" s="207">
        <v>70.0</v>
      </c>
      <c r="Y12" s="207">
        <v>70.0</v>
      </c>
      <c r="Z12" s="158">
        <f t="shared" si="8"/>
        <v>840</v>
      </c>
      <c r="AA12" s="159">
        <f t="shared" si="9"/>
        <v>280</v>
      </c>
      <c r="AB12" s="207">
        <v>70.0</v>
      </c>
      <c r="AC12" s="207">
        <v>70.0</v>
      </c>
      <c r="AD12" s="207">
        <v>70.0</v>
      </c>
      <c r="AE12" s="207">
        <v>70.0</v>
      </c>
      <c r="AF12" s="159">
        <f t="shared" si="10"/>
        <v>280</v>
      </c>
      <c r="AG12" s="207">
        <v>70.0</v>
      </c>
      <c r="AH12" s="207">
        <v>70.0</v>
      </c>
      <c r="AI12" s="207">
        <v>70.0</v>
      </c>
      <c r="AJ12" s="207">
        <v>70.0</v>
      </c>
      <c r="AK12" s="159">
        <f t="shared" si="11"/>
        <v>280</v>
      </c>
      <c r="AL12" s="207">
        <v>70.0</v>
      </c>
      <c r="AM12" s="207">
        <v>70.0</v>
      </c>
      <c r="AN12" s="207">
        <v>70.0</v>
      </c>
      <c r="AO12" s="207">
        <v>70.0</v>
      </c>
      <c r="AP12" s="157">
        <f t="shared" si="12"/>
        <v>1680</v>
      </c>
      <c r="AQ12" s="158">
        <f t="shared" si="13"/>
        <v>840</v>
      </c>
      <c r="AR12" s="159">
        <f t="shared" si="14"/>
        <v>280</v>
      </c>
      <c r="AS12" s="207">
        <v>70.0</v>
      </c>
      <c r="AT12" s="207">
        <v>70.0</v>
      </c>
      <c r="AU12" s="207">
        <v>70.0</v>
      </c>
      <c r="AV12" s="207">
        <v>70.0</v>
      </c>
      <c r="AW12" s="159">
        <f t="shared" si="15"/>
        <v>280</v>
      </c>
      <c r="AX12" s="207">
        <v>70.0</v>
      </c>
      <c r="AY12" s="207">
        <v>70.0</v>
      </c>
      <c r="AZ12" s="207">
        <v>70.0</v>
      </c>
      <c r="BA12" s="207">
        <v>70.0</v>
      </c>
      <c r="BB12" s="159">
        <f t="shared" si="16"/>
        <v>280</v>
      </c>
      <c r="BC12" s="207">
        <v>70.0</v>
      </c>
      <c r="BD12" s="207">
        <v>70.0</v>
      </c>
      <c r="BE12" s="207">
        <v>70.0</v>
      </c>
      <c r="BF12" s="207">
        <v>70.0</v>
      </c>
      <c r="BG12" s="158">
        <f t="shared" si="17"/>
        <v>840</v>
      </c>
      <c r="BH12" s="159">
        <f t="shared" si="18"/>
        <v>280</v>
      </c>
      <c r="BI12" s="207">
        <v>70.0</v>
      </c>
      <c r="BJ12" s="207">
        <v>70.0</v>
      </c>
      <c r="BK12" s="207">
        <v>70.0</v>
      </c>
      <c r="BL12" s="207">
        <v>70.0</v>
      </c>
      <c r="BM12" s="159">
        <f t="shared" si="19"/>
        <v>280</v>
      </c>
      <c r="BN12" s="207">
        <v>70.0</v>
      </c>
      <c r="BO12" s="207">
        <v>70.0</v>
      </c>
      <c r="BP12" s="207">
        <v>70.0</v>
      </c>
      <c r="BQ12" s="207">
        <v>70.0</v>
      </c>
      <c r="BR12" s="159">
        <f t="shared" si="20"/>
        <v>280</v>
      </c>
      <c r="BS12" s="207">
        <v>70.0</v>
      </c>
      <c r="BT12" s="207">
        <v>70.0</v>
      </c>
      <c r="BU12" s="207">
        <v>70.0</v>
      </c>
      <c r="BV12" s="207">
        <v>70.0</v>
      </c>
      <c r="BW12" s="156">
        <f t="shared" si="21"/>
        <v>3360</v>
      </c>
      <c r="BX12" s="157">
        <f t="shared" si="22"/>
        <v>1680</v>
      </c>
      <c r="BY12" s="158">
        <f t="shared" si="23"/>
        <v>840</v>
      </c>
      <c r="BZ12" s="159">
        <f t="shared" si="24"/>
        <v>280</v>
      </c>
      <c r="CA12" s="207">
        <v>70.0</v>
      </c>
      <c r="CB12" s="207">
        <v>70.0</v>
      </c>
      <c r="CC12" s="207">
        <v>70.0</v>
      </c>
      <c r="CD12" s="207">
        <v>70.0</v>
      </c>
      <c r="CE12" s="159">
        <f t="shared" si="25"/>
        <v>280</v>
      </c>
      <c r="CF12" s="207">
        <v>70.0</v>
      </c>
      <c r="CG12" s="207">
        <v>70.0</v>
      </c>
      <c r="CH12" s="207">
        <v>70.0</v>
      </c>
      <c r="CI12" s="207">
        <v>70.0</v>
      </c>
      <c r="CJ12" s="159">
        <f t="shared" si="26"/>
        <v>280</v>
      </c>
      <c r="CK12" s="207">
        <v>70.0</v>
      </c>
      <c r="CL12" s="207">
        <v>70.0</v>
      </c>
      <c r="CM12" s="207">
        <v>70.0</v>
      </c>
      <c r="CN12" s="207">
        <v>70.0</v>
      </c>
      <c r="CO12" s="158">
        <f t="shared" si="27"/>
        <v>840</v>
      </c>
      <c r="CP12" s="159">
        <f t="shared" si="28"/>
        <v>280</v>
      </c>
      <c r="CQ12" s="207">
        <v>70.0</v>
      </c>
      <c r="CR12" s="207">
        <v>70.0</v>
      </c>
      <c r="CS12" s="207">
        <v>70.0</v>
      </c>
      <c r="CT12" s="207">
        <v>70.0</v>
      </c>
      <c r="CU12" s="159">
        <f t="shared" si="29"/>
        <v>280</v>
      </c>
      <c r="CV12" s="207">
        <v>70.0</v>
      </c>
      <c r="CW12" s="207">
        <v>70.0</v>
      </c>
      <c r="CX12" s="207">
        <v>70.0</v>
      </c>
      <c r="CY12" s="207">
        <v>70.0</v>
      </c>
      <c r="CZ12" s="159">
        <f t="shared" si="30"/>
        <v>280</v>
      </c>
      <c r="DA12" s="207">
        <v>70.0</v>
      </c>
      <c r="DB12" s="207">
        <v>70.0</v>
      </c>
      <c r="DC12" s="207">
        <v>70.0</v>
      </c>
      <c r="DD12" s="207">
        <v>70.0</v>
      </c>
      <c r="DE12" s="157">
        <f t="shared" si="31"/>
        <v>1680</v>
      </c>
      <c r="DF12" s="158">
        <f t="shared" si="32"/>
        <v>840</v>
      </c>
      <c r="DG12" s="159">
        <f t="shared" si="33"/>
        <v>280</v>
      </c>
      <c r="DH12" s="207">
        <v>70.0</v>
      </c>
      <c r="DI12" s="207">
        <v>70.0</v>
      </c>
      <c r="DJ12" s="207">
        <v>70.0</v>
      </c>
      <c r="DK12" s="207">
        <v>70.0</v>
      </c>
      <c r="DL12" s="159">
        <f t="shared" si="34"/>
        <v>280</v>
      </c>
      <c r="DM12" s="207">
        <v>70.0</v>
      </c>
      <c r="DN12" s="207">
        <v>70.0</v>
      </c>
      <c r="DO12" s="207">
        <v>70.0</v>
      </c>
      <c r="DP12" s="207">
        <v>70.0</v>
      </c>
      <c r="DQ12" s="159">
        <f t="shared" si="35"/>
        <v>280</v>
      </c>
      <c r="DR12" s="207">
        <v>70.0</v>
      </c>
      <c r="DS12" s="207">
        <v>70.0</v>
      </c>
      <c r="DT12" s="207">
        <v>70.0</v>
      </c>
      <c r="DU12" s="207">
        <v>70.0</v>
      </c>
      <c r="DV12" s="158">
        <f t="shared" si="36"/>
        <v>840</v>
      </c>
      <c r="DW12" s="159">
        <f t="shared" si="37"/>
        <v>280</v>
      </c>
      <c r="DX12" s="207">
        <v>70.0</v>
      </c>
      <c r="DY12" s="207">
        <v>70.0</v>
      </c>
      <c r="DZ12" s="207">
        <v>70.0</v>
      </c>
      <c r="EA12" s="207">
        <v>70.0</v>
      </c>
      <c r="EB12" s="159">
        <f t="shared" si="38"/>
        <v>280</v>
      </c>
      <c r="EC12" s="207">
        <v>70.0</v>
      </c>
      <c r="ED12" s="207">
        <v>70.0</v>
      </c>
      <c r="EE12" s="207">
        <v>70.0</v>
      </c>
      <c r="EF12" s="207">
        <v>70.0</v>
      </c>
      <c r="EG12" s="159">
        <f t="shared" si="39"/>
        <v>280</v>
      </c>
      <c r="EH12" s="207">
        <v>70.0</v>
      </c>
      <c r="EI12" s="207">
        <v>70.0</v>
      </c>
      <c r="EJ12" s="207">
        <v>70.0</v>
      </c>
      <c r="EK12" s="207">
        <v>70.0</v>
      </c>
      <c r="EL12" s="156">
        <f t="shared" si="40"/>
        <v>3360</v>
      </c>
      <c r="EM12" s="157">
        <f t="shared" si="41"/>
        <v>1680</v>
      </c>
      <c r="EN12" s="158">
        <f t="shared" si="42"/>
        <v>840</v>
      </c>
      <c r="EO12" s="159">
        <f t="shared" si="43"/>
        <v>280</v>
      </c>
      <c r="EP12" s="207">
        <v>70.0</v>
      </c>
      <c r="EQ12" s="207">
        <v>70.0</v>
      </c>
      <c r="ER12" s="207">
        <v>70.0</v>
      </c>
      <c r="ES12" s="207">
        <v>70.0</v>
      </c>
      <c r="ET12" s="159">
        <f t="shared" si="44"/>
        <v>280</v>
      </c>
      <c r="EU12" s="207">
        <v>70.0</v>
      </c>
      <c r="EV12" s="207">
        <v>70.0</v>
      </c>
      <c r="EW12" s="207">
        <v>70.0</v>
      </c>
      <c r="EX12" s="207">
        <v>70.0</v>
      </c>
      <c r="EY12" s="159">
        <f t="shared" si="45"/>
        <v>280</v>
      </c>
      <c r="EZ12" s="207">
        <v>70.0</v>
      </c>
      <c r="FA12" s="207">
        <v>70.0</v>
      </c>
      <c r="FB12" s="207">
        <v>70.0</v>
      </c>
      <c r="FC12" s="207">
        <v>70.0</v>
      </c>
      <c r="FD12" s="158">
        <f t="shared" si="46"/>
        <v>840</v>
      </c>
      <c r="FE12" s="159">
        <f t="shared" si="47"/>
        <v>280</v>
      </c>
      <c r="FF12" s="207">
        <v>70.0</v>
      </c>
      <c r="FG12" s="207">
        <v>70.0</v>
      </c>
      <c r="FH12" s="207">
        <v>70.0</v>
      </c>
      <c r="FI12" s="207">
        <v>70.0</v>
      </c>
      <c r="FJ12" s="159">
        <f t="shared" si="48"/>
        <v>280</v>
      </c>
      <c r="FK12" s="207">
        <v>70.0</v>
      </c>
      <c r="FL12" s="207">
        <v>70.0</v>
      </c>
      <c r="FM12" s="207">
        <v>70.0</v>
      </c>
      <c r="FN12" s="207">
        <v>70.0</v>
      </c>
      <c r="FO12" s="159">
        <f t="shared" si="49"/>
        <v>280</v>
      </c>
      <c r="FP12" s="207">
        <v>70.0</v>
      </c>
      <c r="FQ12" s="207">
        <v>70.0</v>
      </c>
      <c r="FR12" s="207">
        <v>70.0</v>
      </c>
      <c r="FS12" s="207">
        <v>70.0</v>
      </c>
      <c r="FT12" s="157">
        <f t="shared" si="50"/>
        <v>1680</v>
      </c>
      <c r="FU12" s="158">
        <f t="shared" si="51"/>
        <v>840</v>
      </c>
      <c r="FV12" s="159">
        <f t="shared" si="52"/>
        <v>280</v>
      </c>
      <c r="FW12" s="207">
        <v>70.0</v>
      </c>
      <c r="FX12" s="207">
        <v>70.0</v>
      </c>
      <c r="FY12" s="207">
        <v>70.0</v>
      </c>
      <c r="FZ12" s="207">
        <v>70.0</v>
      </c>
      <c r="GA12" s="159">
        <f t="shared" si="53"/>
        <v>280</v>
      </c>
      <c r="GB12" s="207">
        <v>70.0</v>
      </c>
      <c r="GC12" s="207">
        <v>70.0</v>
      </c>
      <c r="GD12" s="207">
        <v>70.0</v>
      </c>
      <c r="GE12" s="207">
        <v>70.0</v>
      </c>
      <c r="GF12" s="159">
        <f t="shared" si="54"/>
        <v>280</v>
      </c>
      <c r="GG12" s="207">
        <v>70.0</v>
      </c>
      <c r="GH12" s="207">
        <v>70.0</v>
      </c>
      <c r="GI12" s="207">
        <v>70.0</v>
      </c>
      <c r="GJ12" s="207">
        <v>70.0</v>
      </c>
      <c r="GK12" s="158">
        <f t="shared" si="55"/>
        <v>840</v>
      </c>
      <c r="GL12" s="159">
        <f t="shared" si="56"/>
        <v>280</v>
      </c>
      <c r="GM12" s="207">
        <v>70.0</v>
      </c>
      <c r="GN12" s="207">
        <v>70.0</v>
      </c>
      <c r="GO12" s="207">
        <v>70.0</v>
      </c>
      <c r="GP12" s="207">
        <v>70.0</v>
      </c>
      <c r="GQ12" s="159">
        <f t="shared" si="57"/>
        <v>280</v>
      </c>
      <c r="GR12" s="207">
        <v>70.0</v>
      </c>
      <c r="GS12" s="207">
        <v>70.0</v>
      </c>
      <c r="GT12" s="207">
        <v>70.0</v>
      </c>
      <c r="GU12" s="207">
        <v>70.0</v>
      </c>
      <c r="GV12" s="159">
        <f t="shared" si="58"/>
        <v>280</v>
      </c>
      <c r="GW12" s="207">
        <v>70.0</v>
      </c>
      <c r="GX12" s="207">
        <v>70.0</v>
      </c>
      <c r="GY12" s="207">
        <v>70.0</v>
      </c>
      <c r="GZ12" s="207">
        <v>70.0</v>
      </c>
      <c r="HA12" s="15"/>
      <c r="HB12" s="15"/>
    </row>
    <row r="13" ht="15.75" customHeight="1">
      <c r="A13" s="13"/>
      <c r="B13" s="78"/>
      <c r="C13" s="78"/>
      <c r="D13" s="78"/>
      <c r="E13" s="154" t="s">
        <v>26</v>
      </c>
      <c r="F13" s="15"/>
      <c r="G13" s="155">
        <f t="shared" si="1"/>
        <v>9222</v>
      </c>
      <c r="H13" s="156">
        <f t="shared" si="2"/>
        <v>3074</v>
      </c>
      <c r="I13" s="157">
        <f t="shared" si="3"/>
        <v>1537</v>
      </c>
      <c r="J13" s="158">
        <f t="shared" si="4"/>
        <v>835</v>
      </c>
      <c r="K13" s="159">
        <f t="shared" si="5"/>
        <v>270</v>
      </c>
      <c r="L13" s="193">
        <v>60.0</v>
      </c>
      <c r="M13" s="193">
        <v>65.0</v>
      </c>
      <c r="N13" s="193">
        <v>70.0</v>
      </c>
      <c r="O13" s="193">
        <v>75.0</v>
      </c>
      <c r="P13" s="159">
        <f t="shared" si="6"/>
        <v>255</v>
      </c>
      <c r="Q13" s="193">
        <v>70.0</v>
      </c>
      <c r="R13" s="193">
        <v>60.0</v>
      </c>
      <c r="S13" s="193">
        <v>55.0</v>
      </c>
      <c r="T13" s="193">
        <v>70.0</v>
      </c>
      <c r="U13" s="159">
        <f t="shared" si="7"/>
        <v>310</v>
      </c>
      <c r="V13" s="193">
        <v>75.0</v>
      </c>
      <c r="W13" s="193">
        <v>80.0</v>
      </c>
      <c r="X13" s="193">
        <v>70.0</v>
      </c>
      <c r="Y13" s="193">
        <v>85.0</v>
      </c>
      <c r="Z13" s="158">
        <f t="shared" si="8"/>
        <v>702</v>
      </c>
      <c r="AA13" s="159">
        <f t="shared" si="9"/>
        <v>237</v>
      </c>
      <c r="AB13" s="193">
        <v>55.0</v>
      </c>
      <c r="AC13" s="193">
        <v>56.0</v>
      </c>
      <c r="AD13" s="193">
        <v>62.0</v>
      </c>
      <c r="AE13" s="193">
        <v>64.0</v>
      </c>
      <c r="AF13" s="159">
        <f t="shared" si="10"/>
        <v>214</v>
      </c>
      <c r="AG13" s="193">
        <v>50.0</v>
      </c>
      <c r="AH13" s="193">
        <v>52.0</v>
      </c>
      <c r="AI13" s="193">
        <v>54.0</v>
      </c>
      <c r="AJ13" s="193">
        <v>58.0</v>
      </c>
      <c r="AK13" s="159">
        <f t="shared" si="11"/>
        <v>251</v>
      </c>
      <c r="AL13" s="193">
        <v>60.0</v>
      </c>
      <c r="AM13" s="193">
        <v>62.0</v>
      </c>
      <c r="AN13" s="193">
        <v>65.0</v>
      </c>
      <c r="AO13" s="193">
        <v>64.0</v>
      </c>
      <c r="AP13" s="157">
        <f t="shared" si="12"/>
        <v>1537</v>
      </c>
      <c r="AQ13" s="158">
        <f t="shared" si="13"/>
        <v>702</v>
      </c>
      <c r="AR13" s="159">
        <f t="shared" si="14"/>
        <v>251</v>
      </c>
      <c r="AS13" s="193">
        <v>60.0</v>
      </c>
      <c r="AT13" s="193">
        <v>62.0</v>
      </c>
      <c r="AU13" s="193">
        <v>65.0</v>
      </c>
      <c r="AV13" s="193">
        <v>64.0</v>
      </c>
      <c r="AW13" s="159">
        <f t="shared" si="15"/>
        <v>237</v>
      </c>
      <c r="AX13" s="193">
        <v>55.0</v>
      </c>
      <c r="AY13" s="193">
        <v>56.0</v>
      </c>
      <c r="AZ13" s="193">
        <v>62.0</v>
      </c>
      <c r="BA13" s="193">
        <v>64.0</v>
      </c>
      <c r="BB13" s="159">
        <f t="shared" si="16"/>
        <v>214</v>
      </c>
      <c r="BC13" s="193">
        <v>50.0</v>
      </c>
      <c r="BD13" s="193">
        <v>52.0</v>
      </c>
      <c r="BE13" s="193">
        <v>54.0</v>
      </c>
      <c r="BF13" s="193">
        <v>58.0</v>
      </c>
      <c r="BG13" s="158">
        <f t="shared" si="17"/>
        <v>835</v>
      </c>
      <c r="BH13" s="159">
        <f t="shared" si="18"/>
        <v>255</v>
      </c>
      <c r="BI13" s="193">
        <v>70.0</v>
      </c>
      <c r="BJ13" s="193">
        <v>60.0</v>
      </c>
      <c r="BK13" s="193">
        <v>55.0</v>
      </c>
      <c r="BL13" s="193">
        <v>70.0</v>
      </c>
      <c r="BM13" s="159">
        <f t="shared" si="19"/>
        <v>310</v>
      </c>
      <c r="BN13" s="193">
        <v>75.0</v>
      </c>
      <c r="BO13" s="193">
        <v>80.0</v>
      </c>
      <c r="BP13" s="193">
        <v>70.0</v>
      </c>
      <c r="BQ13" s="193">
        <v>85.0</v>
      </c>
      <c r="BR13" s="159">
        <f t="shared" si="20"/>
        <v>270</v>
      </c>
      <c r="BS13" s="193">
        <v>60.0</v>
      </c>
      <c r="BT13" s="193">
        <v>65.0</v>
      </c>
      <c r="BU13" s="193">
        <v>70.0</v>
      </c>
      <c r="BV13" s="193">
        <v>75.0</v>
      </c>
      <c r="BW13" s="156">
        <f t="shared" si="21"/>
        <v>3074</v>
      </c>
      <c r="BX13" s="157">
        <f t="shared" si="22"/>
        <v>1537</v>
      </c>
      <c r="BY13" s="158">
        <f t="shared" si="23"/>
        <v>702</v>
      </c>
      <c r="BZ13" s="159">
        <f t="shared" si="24"/>
        <v>214</v>
      </c>
      <c r="CA13" s="193">
        <v>50.0</v>
      </c>
      <c r="CB13" s="193">
        <v>52.0</v>
      </c>
      <c r="CC13" s="193">
        <v>54.0</v>
      </c>
      <c r="CD13" s="193">
        <v>58.0</v>
      </c>
      <c r="CE13" s="159">
        <f t="shared" si="25"/>
        <v>251</v>
      </c>
      <c r="CF13" s="193">
        <v>60.0</v>
      </c>
      <c r="CG13" s="193">
        <v>62.0</v>
      </c>
      <c r="CH13" s="193">
        <v>65.0</v>
      </c>
      <c r="CI13" s="193">
        <v>64.0</v>
      </c>
      <c r="CJ13" s="159">
        <f t="shared" si="26"/>
        <v>237</v>
      </c>
      <c r="CK13" s="193">
        <v>55.0</v>
      </c>
      <c r="CL13" s="193">
        <v>56.0</v>
      </c>
      <c r="CM13" s="193">
        <v>62.0</v>
      </c>
      <c r="CN13" s="193">
        <v>64.0</v>
      </c>
      <c r="CO13" s="158">
        <f t="shared" si="27"/>
        <v>835</v>
      </c>
      <c r="CP13" s="159">
        <f t="shared" si="28"/>
        <v>270</v>
      </c>
      <c r="CQ13" s="193">
        <v>60.0</v>
      </c>
      <c r="CR13" s="193">
        <v>65.0</v>
      </c>
      <c r="CS13" s="193">
        <v>70.0</v>
      </c>
      <c r="CT13" s="193">
        <v>75.0</v>
      </c>
      <c r="CU13" s="159">
        <f t="shared" si="29"/>
        <v>255</v>
      </c>
      <c r="CV13" s="193">
        <v>70.0</v>
      </c>
      <c r="CW13" s="193">
        <v>60.0</v>
      </c>
      <c r="CX13" s="193">
        <v>55.0</v>
      </c>
      <c r="CY13" s="193">
        <v>70.0</v>
      </c>
      <c r="CZ13" s="159">
        <f t="shared" si="30"/>
        <v>310</v>
      </c>
      <c r="DA13" s="193">
        <v>75.0</v>
      </c>
      <c r="DB13" s="193">
        <v>80.0</v>
      </c>
      <c r="DC13" s="193">
        <v>70.0</v>
      </c>
      <c r="DD13" s="193">
        <v>85.0</v>
      </c>
      <c r="DE13" s="157">
        <f t="shared" si="31"/>
        <v>1537</v>
      </c>
      <c r="DF13" s="158">
        <f t="shared" si="32"/>
        <v>835</v>
      </c>
      <c r="DG13" s="159">
        <f t="shared" si="33"/>
        <v>310</v>
      </c>
      <c r="DH13" s="193">
        <v>75.0</v>
      </c>
      <c r="DI13" s="193">
        <v>80.0</v>
      </c>
      <c r="DJ13" s="193">
        <v>70.0</v>
      </c>
      <c r="DK13" s="193">
        <v>85.0</v>
      </c>
      <c r="DL13" s="159">
        <f t="shared" si="34"/>
        <v>270</v>
      </c>
      <c r="DM13" s="193">
        <v>60.0</v>
      </c>
      <c r="DN13" s="193">
        <v>65.0</v>
      </c>
      <c r="DO13" s="193">
        <v>70.0</v>
      </c>
      <c r="DP13" s="193">
        <v>75.0</v>
      </c>
      <c r="DQ13" s="159">
        <f t="shared" si="35"/>
        <v>255</v>
      </c>
      <c r="DR13" s="193">
        <v>70.0</v>
      </c>
      <c r="DS13" s="193">
        <v>60.0</v>
      </c>
      <c r="DT13" s="193">
        <v>55.0</v>
      </c>
      <c r="DU13" s="193">
        <v>70.0</v>
      </c>
      <c r="DV13" s="158">
        <f t="shared" si="36"/>
        <v>702</v>
      </c>
      <c r="DW13" s="159">
        <f t="shared" si="37"/>
        <v>251</v>
      </c>
      <c r="DX13" s="193">
        <v>60.0</v>
      </c>
      <c r="DY13" s="193">
        <v>62.0</v>
      </c>
      <c r="DZ13" s="193">
        <v>65.0</v>
      </c>
      <c r="EA13" s="193">
        <v>64.0</v>
      </c>
      <c r="EB13" s="159">
        <f t="shared" si="38"/>
        <v>214</v>
      </c>
      <c r="EC13" s="193">
        <v>50.0</v>
      </c>
      <c r="ED13" s="193">
        <v>52.0</v>
      </c>
      <c r="EE13" s="193">
        <v>54.0</v>
      </c>
      <c r="EF13" s="193">
        <v>58.0</v>
      </c>
      <c r="EG13" s="159">
        <f t="shared" si="39"/>
        <v>237</v>
      </c>
      <c r="EH13" s="193">
        <v>55.0</v>
      </c>
      <c r="EI13" s="193">
        <v>56.0</v>
      </c>
      <c r="EJ13" s="193">
        <v>62.0</v>
      </c>
      <c r="EK13" s="193">
        <v>64.0</v>
      </c>
      <c r="EL13" s="156">
        <f t="shared" si="40"/>
        <v>3074</v>
      </c>
      <c r="EM13" s="157">
        <f t="shared" si="41"/>
        <v>1537</v>
      </c>
      <c r="EN13" s="158">
        <f t="shared" si="42"/>
        <v>702</v>
      </c>
      <c r="EO13" s="159">
        <f t="shared" si="43"/>
        <v>214</v>
      </c>
      <c r="EP13" s="193">
        <v>50.0</v>
      </c>
      <c r="EQ13" s="193">
        <v>52.0</v>
      </c>
      <c r="ER13" s="193">
        <v>54.0</v>
      </c>
      <c r="ES13" s="193">
        <v>58.0</v>
      </c>
      <c r="ET13" s="159">
        <f t="shared" si="44"/>
        <v>237</v>
      </c>
      <c r="EU13" s="193">
        <v>55.0</v>
      </c>
      <c r="EV13" s="193">
        <v>56.0</v>
      </c>
      <c r="EW13" s="193">
        <v>62.0</v>
      </c>
      <c r="EX13" s="193">
        <v>64.0</v>
      </c>
      <c r="EY13" s="159">
        <f t="shared" si="45"/>
        <v>251</v>
      </c>
      <c r="EZ13" s="193">
        <v>60.0</v>
      </c>
      <c r="FA13" s="193">
        <v>62.0</v>
      </c>
      <c r="FB13" s="193">
        <v>65.0</v>
      </c>
      <c r="FC13" s="193">
        <v>64.0</v>
      </c>
      <c r="FD13" s="158">
        <f t="shared" si="46"/>
        <v>835</v>
      </c>
      <c r="FE13" s="159">
        <f t="shared" si="47"/>
        <v>270</v>
      </c>
      <c r="FF13" s="193">
        <v>60.0</v>
      </c>
      <c r="FG13" s="193">
        <v>65.0</v>
      </c>
      <c r="FH13" s="193">
        <v>70.0</v>
      </c>
      <c r="FI13" s="193">
        <v>75.0</v>
      </c>
      <c r="FJ13" s="159">
        <f t="shared" si="48"/>
        <v>255</v>
      </c>
      <c r="FK13" s="193">
        <v>70.0</v>
      </c>
      <c r="FL13" s="193">
        <v>60.0</v>
      </c>
      <c r="FM13" s="193">
        <v>55.0</v>
      </c>
      <c r="FN13" s="193">
        <v>70.0</v>
      </c>
      <c r="FO13" s="159">
        <f t="shared" si="49"/>
        <v>310</v>
      </c>
      <c r="FP13" s="193">
        <v>75.0</v>
      </c>
      <c r="FQ13" s="193">
        <v>80.0</v>
      </c>
      <c r="FR13" s="193">
        <v>70.0</v>
      </c>
      <c r="FS13" s="193">
        <v>85.0</v>
      </c>
      <c r="FT13" s="157">
        <f t="shared" si="50"/>
        <v>1537</v>
      </c>
      <c r="FU13" s="158">
        <f t="shared" si="51"/>
        <v>835</v>
      </c>
      <c r="FV13" s="159">
        <f t="shared" si="52"/>
        <v>310</v>
      </c>
      <c r="FW13" s="193">
        <v>75.0</v>
      </c>
      <c r="FX13" s="193">
        <v>80.0</v>
      </c>
      <c r="FY13" s="193">
        <v>70.0</v>
      </c>
      <c r="FZ13" s="193">
        <v>85.0</v>
      </c>
      <c r="GA13" s="159">
        <f t="shared" si="53"/>
        <v>270</v>
      </c>
      <c r="GB13" s="193">
        <v>60.0</v>
      </c>
      <c r="GC13" s="193">
        <v>65.0</v>
      </c>
      <c r="GD13" s="193">
        <v>70.0</v>
      </c>
      <c r="GE13" s="193">
        <v>75.0</v>
      </c>
      <c r="GF13" s="159">
        <f t="shared" si="54"/>
        <v>255</v>
      </c>
      <c r="GG13" s="193">
        <v>70.0</v>
      </c>
      <c r="GH13" s="193">
        <v>60.0</v>
      </c>
      <c r="GI13" s="193">
        <v>55.0</v>
      </c>
      <c r="GJ13" s="193">
        <v>70.0</v>
      </c>
      <c r="GK13" s="158">
        <f t="shared" si="55"/>
        <v>702</v>
      </c>
      <c r="GL13" s="159">
        <f t="shared" si="56"/>
        <v>237</v>
      </c>
      <c r="GM13" s="193">
        <v>55.0</v>
      </c>
      <c r="GN13" s="193">
        <v>56.0</v>
      </c>
      <c r="GO13" s="193">
        <v>62.0</v>
      </c>
      <c r="GP13" s="193">
        <v>64.0</v>
      </c>
      <c r="GQ13" s="159">
        <f t="shared" si="57"/>
        <v>214</v>
      </c>
      <c r="GR13" s="193">
        <v>50.0</v>
      </c>
      <c r="GS13" s="193">
        <v>52.0</v>
      </c>
      <c r="GT13" s="193">
        <v>54.0</v>
      </c>
      <c r="GU13" s="193">
        <v>58.0</v>
      </c>
      <c r="GV13" s="159">
        <f t="shared" si="58"/>
        <v>251</v>
      </c>
      <c r="GW13" s="193">
        <v>60.0</v>
      </c>
      <c r="GX13" s="193">
        <v>62.0</v>
      </c>
      <c r="GY13" s="193">
        <v>65.0</v>
      </c>
      <c r="GZ13" s="193">
        <v>64.0</v>
      </c>
      <c r="HA13" s="15"/>
      <c r="HB13" s="15"/>
    </row>
    <row r="14" ht="15.75" customHeight="1">
      <c r="A14" s="13"/>
      <c r="B14" s="151" t="s">
        <v>44</v>
      </c>
      <c r="C14" s="152">
        <v>1.0</v>
      </c>
      <c r="D14" s="153" t="s">
        <v>46</v>
      </c>
      <c r="E14" s="154" t="s">
        <v>19</v>
      </c>
      <c r="F14" s="15"/>
      <c r="G14" s="155">
        <f t="shared" si="1"/>
        <v>7056</v>
      </c>
      <c r="H14" s="156">
        <f t="shared" si="2"/>
        <v>2352</v>
      </c>
      <c r="I14" s="157">
        <f t="shared" si="3"/>
        <v>1176</v>
      </c>
      <c r="J14" s="158">
        <f t="shared" si="4"/>
        <v>588</v>
      </c>
      <c r="K14" s="159">
        <f t="shared" si="5"/>
        <v>196</v>
      </c>
      <c r="L14" s="160">
        <v>49.0</v>
      </c>
      <c r="M14" s="160">
        <v>49.0</v>
      </c>
      <c r="N14" s="160">
        <v>49.0</v>
      </c>
      <c r="O14" s="160">
        <v>49.0</v>
      </c>
      <c r="P14" s="159">
        <f t="shared" si="6"/>
        <v>196</v>
      </c>
      <c r="Q14" s="160">
        <v>49.0</v>
      </c>
      <c r="R14" s="160">
        <v>49.0</v>
      </c>
      <c r="S14" s="160">
        <v>49.0</v>
      </c>
      <c r="T14" s="160">
        <v>49.0</v>
      </c>
      <c r="U14" s="159">
        <f t="shared" si="7"/>
        <v>196</v>
      </c>
      <c r="V14" s="206">
        <v>49.0</v>
      </c>
      <c r="W14" s="164">
        <v>49.0</v>
      </c>
      <c r="X14" s="164">
        <v>49.0</v>
      </c>
      <c r="Y14" s="164">
        <v>49.0</v>
      </c>
      <c r="Z14" s="158">
        <f t="shared" si="8"/>
        <v>588</v>
      </c>
      <c r="AA14" s="159">
        <f t="shared" si="9"/>
        <v>196</v>
      </c>
      <c r="AB14" s="206">
        <v>49.0</v>
      </c>
      <c r="AC14" s="164">
        <v>49.0</v>
      </c>
      <c r="AD14" s="164">
        <v>49.0</v>
      </c>
      <c r="AE14" s="164">
        <v>49.0</v>
      </c>
      <c r="AF14" s="159">
        <f t="shared" si="10"/>
        <v>196</v>
      </c>
      <c r="AG14" s="206">
        <v>49.0</v>
      </c>
      <c r="AH14" s="164">
        <v>49.0</v>
      </c>
      <c r="AI14" s="164">
        <v>49.0</v>
      </c>
      <c r="AJ14" s="164">
        <v>49.0</v>
      </c>
      <c r="AK14" s="159">
        <f t="shared" si="11"/>
        <v>196</v>
      </c>
      <c r="AL14" s="206">
        <v>49.0</v>
      </c>
      <c r="AM14" s="164">
        <v>49.0</v>
      </c>
      <c r="AN14" s="164">
        <v>49.0</v>
      </c>
      <c r="AO14" s="164">
        <v>49.0</v>
      </c>
      <c r="AP14" s="157">
        <f t="shared" si="12"/>
        <v>1176</v>
      </c>
      <c r="AQ14" s="158">
        <f t="shared" si="13"/>
        <v>588</v>
      </c>
      <c r="AR14" s="159">
        <f t="shared" si="14"/>
        <v>196</v>
      </c>
      <c r="AS14" s="206">
        <v>49.0</v>
      </c>
      <c r="AT14" s="164">
        <v>49.0</v>
      </c>
      <c r="AU14" s="164">
        <v>49.0</v>
      </c>
      <c r="AV14" s="164">
        <v>49.0</v>
      </c>
      <c r="AW14" s="159">
        <f t="shared" si="15"/>
        <v>196</v>
      </c>
      <c r="AX14" s="206">
        <v>49.0</v>
      </c>
      <c r="AY14" s="164">
        <v>49.0</v>
      </c>
      <c r="AZ14" s="164">
        <v>49.0</v>
      </c>
      <c r="BA14" s="164">
        <v>49.0</v>
      </c>
      <c r="BB14" s="159">
        <f t="shared" si="16"/>
        <v>196</v>
      </c>
      <c r="BC14" s="206">
        <v>49.0</v>
      </c>
      <c r="BD14" s="164">
        <v>49.0</v>
      </c>
      <c r="BE14" s="164">
        <v>49.0</v>
      </c>
      <c r="BF14" s="164">
        <v>49.0</v>
      </c>
      <c r="BG14" s="158">
        <f t="shared" si="17"/>
        <v>588</v>
      </c>
      <c r="BH14" s="159">
        <f t="shared" si="18"/>
        <v>196</v>
      </c>
      <c r="BI14" s="160">
        <v>49.0</v>
      </c>
      <c r="BJ14" s="160">
        <v>49.0</v>
      </c>
      <c r="BK14" s="160">
        <v>49.0</v>
      </c>
      <c r="BL14" s="160">
        <v>49.0</v>
      </c>
      <c r="BM14" s="159">
        <f t="shared" si="19"/>
        <v>196</v>
      </c>
      <c r="BN14" s="206">
        <v>49.0</v>
      </c>
      <c r="BO14" s="164">
        <v>49.0</v>
      </c>
      <c r="BP14" s="164">
        <v>49.0</v>
      </c>
      <c r="BQ14" s="164">
        <v>49.0</v>
      </c>
      <c r="BR14" s="159">
        <f t="shared" si="20"/>
        <v>196</v>
      </c>
      <c r="BS14" s="160">
        <v>49.0</v>
      </c>
      <c r="BT14" s="160">
        <v>49.0</v>
      </c>
      <c r="BU14" s="160">
        <v>49.0</v>
      </c>
      <c r="BV14" s="160">
        <v>49.0</v>
      </c>
      <c r="BW14" s="156">
        <f t="shared" si="21"/>
        <v>2352</v>
      </c>
      <c r="BX14" s="157">
        <f t="shared" si="22"/>
        <v>1176</v>
      </c>
      <c r="BY14" s="158">
        <f t="shared" si="23"/>
        <v>588</v>
      </c>
      <c r="BZ14" s="159">
        <f t="shared" si="24"/>
        <v>196</v>
      </c>
      <c r="CA14" s="206">
        <v>49.0</v>
      </c>
      <c r="CB14" s="164">
        <v>49.0</v>
      </c>
      <c r="CC14" s="164">
        <v>49.0</v>
      </c>
      <c r="CD14" s="164">
        <v>49.0</v>
      </c>
      <c r="CE14" s="159">
        <f t="shared" si="25"/>
        <v>196</v>
      </c>
      <c r="CF14" s="206">
        <v>49.0</v>
      </c>
      <c r="CG14" s="164">
        <v>49.0</v>
      </c>
      <c r="CH14" s="164">
        <v>49.0</v>
      </c>
      <c r="CI14" s="164">
        <v>49.0</v>
      </c>
      <c r="CJ14" s="159">
        <f t="shared" si="26"/>
        <v>196</v>
      </c>
      <c r="CK14" s="206">
        <v>49.0</v>
      </c>
      <c r="CL14" s="164">
        <v>49.0</v>
      </c>
      <c r="CM14" s="164">
        <v>49.0</v>
      </c>
      <c r="CN14" s="164">
        <v>49.0</v>
      </c>
      <c r="CO14" s="158">
        <f t="shared" si="27"/>
        <v>588</v>
      </c>
      <c r="CP14" s="159">
        <f t="shared" si="28"/>
        <v>196</v>
      </c>
      <c r="CQ14" s="160">
        <v>49.0</v>
      </c>
      <c r="CR14" s="160">
        <v>49.0</v>
      </c>
      <c r="CS14" s="160">
        <v>49.0</v>
      </c>
      <c r="CT14" s="160">
        <v>49.0</v>
      </c>
      <c r="CU14" s="159">
        <f t="shared" si="29"/>
        <v>196</v>
      </c>
      <c r="CV14" s="160">
        <v>49.0</v>
      </c>
      <c r="CW14" s="160">
        <v>49.0</v>
      </c>
      <c r="CX14" s="160">
        <v>49.0</v>
      </c>
      <c r="CY14" s="160">
        <v>49.0</v>
      </c>
      <c r="CZ14" s="159">
        <f t="shared" si="30"/>
        <v>196</v>
      </c>
      <c r="DA14" s="206">
        <v>49.0</v>
      </c>
      <c r="DB14" s="164">
        <v>49.0</v>
      </c>
      <c r="DC14" s="164">
        <v>49.0</v>
      </c>
      <c r="DD14" s="164">
        <v>49.0</v>
      </c>
      <c r="DE14" s="157">
        <f t="shared" si="31"/>
        <v>1176</v>
      </c>
      <c r="DF14" s="158">
        <f t="shared" si="32"/>
        <v>588</v>
      </c>
      <c r="DG14" s="159">
        <f t="shared" si="33"/>
        <v>196</v>
      </c>
      <c r="DH14" s="206">
        <v>49.0</v>
      </c>
      <c r="DI14" s="164">
        <v>49.0</v>
      </c>
      <c r="DJ14" s="164">
        <v>49.0</v>
      </c>
      <c r="DK14" s="164">
        <v>49.0</v>
      </c>
      <c r="DL14" s="159">
        <f t="shared" si="34"/>
        <v>196</v>
      </c>
      <c r="DM14" s="160">
        <v>49.0</v>
      </c>
      <c r="DN14" s="160">
        <v>49.0</v>
      </c>
      <c r="DO14" s="160">
        <v>49.0</v>
      </c>
      <c r="DP14" s="160">
        <v>49.0</v>
      </c>
      <c r="DQ14" s="159">
        <f t="shared" si="35"/>
        <v>196</v>
      </c>
      <c r="DR14" s="160">
        <v>49.0</v>
      </c>
      <c r="DS14" s="160">
        <v>49.0</v>
      </c>
      <c r="DT14" s="160">
        <v>49.0</v>
      </c>
      <c r="DU14" s="160">
        <v>49.0</v>
      </c>
      <c r="DV14" s="158">
        <f t="shared" si="36"/>
        <v>588</v>
      </c>
      <c r="DW14" s="159">
        <f t="shared" si="37"/>
        <v>196</v>
      </c>
      <c r="DX14" s="206">
        <v>49.0</v>
      </c>
      <c r="DY14" s="164">
        <v>49.0</v>
      </c>
      <c r="DZ14" s="164">
        <v>49.0</v>
      </c>
      <c r="EA14" s="164">
        <v>49.0</v>
      </c>
      <c r="EB14" s="159">
        <f t="shared" si="38"/>
        <v>196</v>
      </c>
      <c r="EC14" s="206">
        <v>49.0</v>
      </c>
      <c r="ED14" s="164">
        <v>49.0</v>
      </c>
      <c r="EE14" s="164">
        <v>49.0</v>
      </c>
      <c r="EF14" s="164">
        <v>49.0</v>
      </c>
      <c r="EG14" s="159">
        <f t="shared" si="39"/>
        <v>196</v>
      </c>
      <c r="EH14" s="206">
        <v>49.0</v>
      </c>
      <c r="EI14" s="164">
        <v>49.0</v>
      </c>
      <c r="EJ14" s="164">
        <v>49.0</v>
      </c>
      <c r="EK14" s="164">
        <v>49.0</v>
      </c>
      <c r="EL14" s="156">
        <f t="shared" si="40"/>
        <v>2352</v>
      </c>
      <c r="EM14" s="157">
        <f t="shared" si="41"/>
        <v>1176</v>
      </c>
      <c r="EN14" s="158">
        <f t="shared" si="42"/>
        <v>588</v>
      </c>
      <c r="EO14" s="159">
        <f t="shared" si="43"/>
        <v>196</v>
      </c>
      <c r="EP14" s="206">
        <v>49.0</v>
      </c>
      <c r="EQ14" s="164">
        <v>49.0</v>
      </c>
      <c r="ER14" s="164">
        <v>49.0</v>
      </c>
      <c r="ES14" s="164">
        <v>49.0</v>
      </c>
      <c r="ET14" s="159">
        <f t="shared" si="44"/>
        <v>196</v>
      </c>
      <c r="EU14" s="206">
        <v>49.0</v>
      </c>
      <c r="EV14" s="164">
        <v>49.0</v>
      </c>
      <c r="EW14" s="164">
        <v>49.0</v>
      </c>
      <c r="EX14" s="164">
        <v>49.0</v>
      </c>
      <c r="EY14" s="159">
        <f t="shared" si="45"/>
        <v>196</v>
      </c>
      <c r="EZ14" s="206">
        <v>49.0</v>
      </c>
      <c r="FA14" s="164">
        <v>49.0</v>
      </c>
      <c r="FB14" s="164">
        <v>49.0</v>
      </c>
      <c r="FC14" s="164">
        <v>49.0</v>
      </c>
      <c r="FD14" s="158">
        <f t="shared" si="46"/>
        <v>588</v>
      </c>
      <c r="FE14" s="159">
        <f t="shared" si="47"/>
        <v>196</v>
      </c>
      <c r="FF14" s="160">
        <v>49.0</v>
      </c>
      <c r="FG14" s="160">
        <v>49.0</v>
      </c>
      <c r="FH14" s="160">
        <v>49.0</v>
      </c>
      <c r="FI14" s="160">
        <v>49.0</v>
      </c>
      <c r="FJ14" s="159">
        <f t="shared" si="48"/>
        <v>196</v>
      </c>
      <c r="FK14" s="160">
        <v>49.0</v>
      </c>
      <c r="FL14" s="160">
        <v>49.0</v>
      </c>
      <c r="FM14" s="160">
        <v>49.0</v>
      </c>
      <c r="FN14" s="160">
        <v>49.0</v>
      </c>
      <c r="FO14" s="159">
        <f t="shared" si="49"/>
        <v>196</v>
      </c>
      <c r="FP14" s="206">
        <v>49.0</v>
      </c>
      <c r="FQ14" s="164">
        <v>49.0</v>
      </c>
      <c r="FR14" s="164">
        <v>49.0</v>
      </c>
      <c r="FS14" s="164">
        <v>49.0</v>
      </c>
      <c r="FT14" s="157">
        <f t="shared" si="50"/>
        <v>1176</v>
      </c>
      <c r="FU14" s="158">
        <f t="shared" si="51"/>
        <v>588</v>
      </c>
      <c r="FV14" s="159">
        <f t="shared" si="52"/>
        <v>196</v>
      </c>
      <c r="FW14" s="206">
        <v>49.0</v>
      </c>
      <c r="FX14" s="164">
        <v>49.0</v>
      </c>
      <c r="FY14" s="164">
        <v>49.0</v>
      </c>
      <c r="FZ14" s="164">
        <v>49.0</v>
      </c>
      <c r="GA14" s="159">
        <f t="shared" si="53"/>
        <v>196</v>
      </c>
      <c r="GB14" s="160">
        <v>49.0</v>
      </c>
      <c r="GC14" s="160">
        <v>49.0</v>
      </c>
      <c r="GD14" s="160">
        <v>49.0</v>
      </c>
      <c r="GE14" s="160">
        <v>49.0</v>
      </c>
      <c r="GF14" s="159">
        <f t="shared" si="54"/>
        <v>196</v>
      </c>
      <c r="GG14" s="160">
        <v>49.0</v>
      </c>
      <c r="GH14" s="160">
        <v>49.0</v>
      </c>
      <c r="GI14" s="160">
        <v>49.0</v>
      </c>
      <c r="GJ14" s="160">
        <v>49.0</v>
      </c>
      <c r="GK14" s="158">
        <f t="shared" si="55"/>
        <v>588</v>
      </c>
      <c r="GL14" s="159">
        <f t="shared" si="56"/>
        <v>196</v>
      </c>
      <c r="GM14" s="206">
        <v>49.0</v>
      </c>
      <c r="GN14" s="164">
        <v>49.0</v>
      </c>
      <c r="GO14" s="164">
        <v>49.0</v>
      </c>
      <c r="GP14" s="164">
        <v>49.0</v>
      </c>
      <c r="GQ14" s="159">
        <f t="shared" si="57"/>
        <v>196</v>
      </c>
      <c r="GR14" s="206">
        <v>49.0</v>
      </c>
      <c r="GS14" s="164">
        <v>49.0</v>
      </c>
      <c r="GT14" s="164">
        <v>49.0</v>
      </c>
      <c r="GU14" s="164">
        <v>49.0</v>
      </c>
      <c r="GV14" s="159">
        <f t="shared" si="58"/>
        <v>196</v>
      </c>
      <c r="GW14" s="206">
        <v>49.0</v>
      </c>
      <c r="GX14" s="164">
        <v>49.0</v>
      </c>
      <c r="GY14" s="164">
        <v>49.0</v>
      </c>
      <c r="GZ14" s="164">
        <v>49.0</v>
      </c>
      <c r="HA14" s="15"/>
      <c r="HB14" s="15"/>
    </row>
    <row r="15" ht="15.75" customHeight="1">
      <c r="A15" s="13"/>
      <c r="B15" s="82"/>
      <c r="C15" s="78"/>
      <c r="D15" s="78"/>
      <c r="E15" s="154" t="s">
        <v>26</v>
      </c>
      <c r="F15" s="15"/>
      <c r="G15" s="155">
        <f t="shared" si="1"/>
        <v>6162</v>
      </c>
      <c r="H15" s="156">
        <f t="shared" si="2"/>
        <v>2054</v>
      </c>
      <c r="I15" s="157">
        <f t="shared" si="3"/>
        <v>1027</v>
      </c>
      <c r="J15" s="158">
        <f t="shared" si="4"/>
        <v>563</v>
      </c>
      <c r="K15" s="159">
        <f t="shared" si="5"/>
        <v>185</v>
      </c>
      <c r="L15" s="193">
        <v>45.0</v>
      </c>
      <c r="M15" s="193">
        <v>50.0</v>
      </c>
      <c r="N15" s="193">
        <v>44.0</v>
      </c>
      <c r="O15" s="193">
        <v>46.0</v>
      </c>
      <c r="P15" s="159">
        <f t="shared" si="6"/>
        <v>190</v>
      </c>
      <c r="Q15" s="193">
        <v>40.0</v>
      </c>
      <c r="R15" s="193">
        <v>48.0</v>
      </c>
      <c r="S15" s="193">
        <v>52.0</v>
      </c>
      <c r="T15" s="193">
        <v>50.0</v>
      </c>
      <c r="U15" s="159">
        <f t="shared" si="7"/>
        <v>188</v>
      </c>
      <c r="V15" s="193">
        <v>45.0</v>
      </c>
      <c r="W15" s="193">
        <v>46.0</v>
      </c>
      <c r="X15" s="193">
        <v>47.0</v>
      </c>
      <c r="Y15" s="193">
        <v>50.0</v>
      </c>
      <c r="Z15" s="158">
        <f t="shared" si="8"/>
        <v>464</v>
      </c>
      <c r="AA15" s="159">
        <f t="shared" si="9"/>
        <v>162</v>
      </c>
      <c r="AB15" s="193">
        <v>39.0</v>
      </c>
      <c r="AC15" s="193">
        <v>42.0</v>
      </c>
      <c r="AD15" s="193">
        <v>40.0</v>
      </c>
      <c r="AE15" s="193">
        <v>41.0</v>
      </c>
      <c r="AF15" s="159">
        <f t="shared" si="10"/>
        <v>155</v>
      </c>
      <c r="AG15" s="193">
        <v>40.0</v>
      </c>
      <c r="AH15" s="193">
        <v>41.0</v>
      </c>
      <c r="AI15" s="193">
        <v>39.0</v>
      </c>
      <c r="AJ15" s="193">
        <v>35.0</v>
      </c>
      <c r="AK15" s="159">
        <f t="shared" si="11"/>
        <v>147</v>
      </c>
      <c r="AL15" s="193">
        <v>34.0</v>
      </c>
      <c r="AM15" s="193">
        <v>32.0</v>
      </c>
      <c r="AN15" s="193">
        <v>39.0</v>
      </c>
      <c r="AO15" s="193">
        <v>42.0</v>
      </c>
      <c r="AP15" s="157">
        <f t="shared" si="12"/>
        <v>1027</v>
      </c>
      <c r="AQ15" s="158">
        <f t="shared" si="13"/>
        <v>464</v>
      </c>
      <c r="AR15" s="159">
        <f t="shared" si="14"/>
        <v>147</v>
      </c>
      <c r="AS15" s="193">
        <v>34.0</v>
      </c>
      <c r="AT15" s="193">
        <v>32.0</v>
      </c>
      <c r="AU15" s="193">
        <v>39.0</v>
      </c>
      <c r="AV15" s="193">
        <v>42.0</v>
      </c>
      <c r="AW15" s="159">
        <f t="shared" si="15"/>
        <v>162</v>
      </c>
      <c r="AX15" s="193">
        <v>39.0</v>
      </c>
      <c r="AY15" s="193">
        <v>42.0</v>
      </c>
      <c r="AZ15" s="193">
        <v>40.0</v>
      </c>
      <c r="BA15" s="193">
        <v>41.0</v>
      </c>
      <c r="BB15" s="159">
        <f t="shared" si="16"/>
        <v>155</v>
      </c>
      <c r="BC15" s="193">
        <v>40.0</v>
      </c>
      <c r="BD15" s="193">
        <v>41.0</v>
      </c>
      <c r="BE15" s="193">
        <v>39.0</v>
      </c>
      <c r="BF15" s="193">
        <v>35.0</v>
      </c>
      <c r="BG15" s="158">
        <f t="shared" si="17"/>
        <v>563</v>
      </c>
      <c r="BH15" s="159">
        <f t="shared" si="18"/>
        <v>190</v>
      </c>
      <c r="BI15" s="193">
        <v>40.0</v>
      </c>
      <c r="BJ15" s="193">
        <v>48.0</v>
      </c>
      <c r="BK15" s="193">
        <v>52.0</v>
      </c>
      <c r="BL15" s="193">
        <v>50.0</v>
      </c>
      <c r="BM15" s="159">
        <f t="shared" si="19"/>
        <v>188</v>
      </c>
      <c r="BN15" s="193">
        <v>45.0</v>
      </c>
      <c r="BO15" s="193">
        <v>46.0</v>
      </c>
      <c r="BP15" s="193">
        <v>47.0</v>
      </c>
      <c r="BQ15" s="193">
        <v>50.0</v>
      </c>
      <c r="BR15" s="159">
        <f t="shared" si="20"/>
        <v>185</v>
      </c>
      <c r="BS15" s="193">
        <v>45.0</v>
      </c>
      <c r="BT15" s="193">
        <v>50.0</v>
      </c>
      <c r="BU15" s="193">
        <v>44.0</v>
      </c>
      <c r="BV15" s="193">
        <v>46.0</v>
      </c>
      <c r="BW15" s="156">
        <f t="shared" si="21"/>
        <v>2054</v>
      </c>
      <c r="BX15" s="157">
        <f t="shared" si="22"/>
        <v>1027</v>
      </c>
      <c r="BY15" s="158">
        <f t="shared" si="23"/>
        <v>464</v>
      </c>
      <c r="BZ15" s="159">
        <f t="shared" si="24"/>
        <v>155</v>
      </c>
      <c r="CA15" s="193">
        <v>40.0</v>
      </c>
      <c r="CB15" s="193">
        <v>41.0</v>
      </c>
      <c r="CC15" s="193">
        <v>39.0</v>
      </c>
      <c r="CD15" s="193">
        <v>35.0</v>
      </c>
      <c r="CE15" s="159">
        <f t="shared" si="25"/>
        <v>147</v>
      </c>
      <c r="CF15" s="193">
        <v>34.0</v>
      </c>
      <c r="CG15" s="193">
        <v>32.0</v>
      </c>
      <c r="CH15" s="193">
        <v>39.0</v>
      </c>
      <c r="CI15" s="193">
        <v>42.0</v>
      </c>
      <c r="CJ15" s="159">
        <f t="shared" si="26"/>
        <v>162</v>
      </c>
      <c r="CK15" s="193">
        <v>39.0</v>
      </c>
      <c r="CL15" s="193">
        <v>42.0</v>
      </c>
      <c r="CM15" s="193">
        <v>40.0</v>
      </c>
      <c r="CN15" s="193">
        <v>41.0</v>
      </c>
      <c r="CO15" s="158">
        <f t="shared" si="27"/>
        <v>563</v>
      </c>
      <c r="CP15" s="159">
        <f t="shared" si="28"/>
        <v>185</v>
      </c>
      <c r="CQ15" s="193">
        <v>45.0</v>
      </c>
      <c r="CR15" s="193">
        <v>50.0</v>
      </c>
      <c r="CS15" s="193">
        <v>44.0</v>
      </c>
      <c r="CT15" s="193">
        <v>46.0</v>
      </c>
      <c r="CU15" s="159">
        <f t="shared" si="29"/>
        <v>190</v>
      </c>
      <c r="CV15" s="193">
        <v>40.0</v>
      </c>
      <c r="CW15" s="193">
        <v>48.0</v>
      </c>
      <c r="CX15" s="193">
        <v>52.0</v>
      </c>
      <c r="CY15" s="193">
        <v>50.0</v>
      </c>
      <c r="CZ15" s="159">
        <f t="shared" si="30"/>
        <v>188</v>
      </c>
      <c r="DA15" s="193">
        <v>45.0</v>
      </c>
      <c r="DB15" s="193">
        <v>46.0</v>
      </c>
      <c r="DC15" s="193">
        <v>47.0</v>
      </c>
      <c r="DD15" s="193">
        <v>50.0</v>
      </c>
      <c r="DE15" s="157">
        <f t="shared" si="31"/>
        <v>1027</v>
      </c>
      <c r="DF15" s="158">
        <f t="shared" si="32"/>
        <v>563</v>
      </c>
      <c r="DG15" s="159">
        <f t="shared" si="33"/>
        <v>188</v>
      </c>
      <c r="DH15" s="193">
        <v>45.0</v>
      </c>
      <c r="DI15" s="193">
        <v>46.0</v>
      </c>
      <c r="DJ15" s="193">
        <v>47.0</v>
      </c>
      <c r="DK15" s="193">
        <v>50.0</v>
      </c>
      <c r="DL15" s="159">
        <f t="shared" si="34"/>
        <v>185</v>
      </c>
      <c r="DM15" s="193">
        <v>45.0</v>
      </c>
      <c r="DN15" s="193">
        <v>50.0</v>
      </c>
      <c r="DO15" s="193">
        <v>44.0</v>
      </c>
      <c r="DP15" s="193">
        <v>46.0</v>
      </c>
      <c r="DQ15" s="159">
        <f t="shared" si="35"/>
        <v>190</v>
      </c>
      <c r="DR15" s="193">
        <v>40.0</v>
      </c>
      <c r="DS15" s="193">
        <v>48.0</v>
      </c>
      <c r="DT15" s="193">
        <v>52.0</v>
      </c>
      <c r="DU15" s="193">
        <v>50.0</v>
      </c>
      <c r="DV15" s="158">
        <f t="shared" si="36"/>
        <v>464</v>
      </c>
      <c r="DW15" s="159">
        <f t="shared" si="37"/>
        <v>147</v>
      </c>
      <c r="DX15" s="193">
        <v>34.0</v>
      </c>
      <c r="DY15" s="193">
        <v>32.0</v>
      </c>
      <c r="DZ15" s="193">
        <v>39.0</v>
      </c>
      <c r="EA15" s="193">
        <v>42.0</v>
      </c>
      <c r="EB15" s="159">
        <f t="shared" si="38"/>
        <v>155</v>
      </c>
      <c r="EC15" s="193">
        <v>40.0</v>
      </c>
      <c r="ED15" s="193">
        <v>41.0</v>
      </c>
      <c r="EE15" s="193">
        <v>39.0</v>
      </c>
      <c r="EF15" s="193">
        <v>35.0</v>
      </c>
      <c r="EG15" s="159">
        <f t="shared" si="39"/>
        <v>162</v>
      </c>
      <c r="EH15" s="193">
        <v>39.0</v>
      </c>
      <c r="EI15" s="193">
        <v>42.0</v>
      </c>
      <c r="EJ15" s="193">
        <v>40.0</v>
      </c>
      <c r="EK15" s="193">
        <v>41.0</v>
      </c>
      <c r="EL15" s="156">
        <f t="shared" si="40"/>
        <v>2054</v>
      </c>
      <c r="EM15" s="157">
        <f t="shared" si="41"/>
        <v>1027</v>
      </c>
      <c r="EN15" s="158">
        <f t="shared" si="42"/>
        <v>464</v>
      </c>
      <c r="EO15" s="159">
        <f t="shared" si="43"/>
        <v>155</v>
      </c>
      <c r="EP15" s="193">
        <v>40.0</v>
      </c>
      <c r="EQ15" s="193">
        <v>41.0</v>
      </c>
      <c r="ER15" s="193">
        <v>39.0</v>
      </c>
      <c r="ES15" s="193">
        <v>35.0</v>
      </c>
      <c r="ET15" s="159">
        <f t="shared" si="44"/>
        <v>162</v>
      </c>
      <c r="EU15" s="193">
        <v>39.0</v>
      </c>
      <c r="EV15" s="193">
        <v>42.0</v>
      </c>
      <c r="EW15" s="193">
        <v>40.0</v>
      </c>
      <c r="EX15" s="193">
        <v>41.0</v>
      </c>
      <c r="EY15" s="159">
        <f t="shared" si="45"/>
        <v>147</v>
      </c>
      <c r="EZ15" s="193">
        <v>34.0</v>
      </c>
      <c r="FA15" s="193">
        <v>32.0</v>
      </c>
      <c r="FB15" s="193">
        <v>39.0</v>
      </c>
      <c r="FC15" s="193">
        <v>42.0</v>
      </c>
      <c r="FD15" s="158">
        <f t="shared" si="46"/>
        <v>563</v>
      </c>
      <c r="FE15" s="159">
        <f t="shared" si="47"/>
        <v>185</v>
      </c>
      <c r="FF15" s="193">
        <v>45.0</v>
      </c>
      <c r="FG15" s="193">
        <v>50.0</v>
      </c>
      <c r="FH15" s="193">
        <v>44.0</v>
      </c>
      <c r="FI15" s="193">
        <v>46.0</v>
      </c>
      <c r="FJ15" s="159">
        <f t="shared" si="48"/>
        <v>190</v>
      </c>
      <c r="FK15" s="193">
        <v>40.0</v>
      </c>
      <c r="FL15" s="193">
        <v>48.0</v>
      </c>
      <c r="FM15" s="193">
        <v>52.0</v>
      </c>
      <c r="FN15" s="193">
        <v>50.0</v>
      </c>
      <c r="FO15" s="159">
        <f t="shared" si="49"/>
        <v>188</v>
      </c>
      <c r="FP15" s="193">
        <v>45.0</v>
      </c>
      <c r="FQ15" s="193">
        <v>46.0</v>
      </c>
      <c r="FR15" s="193">
        <v>47.0</v>
      </c>
      <c r="FS15" s="193">
        <v>50.0</v>
      </c>
      <c r="FT15" s="157">
        <f t="shared" si="50"/>
        <v>1027</v>
      </c>
      <c r="FU15" s="158">
        <f t="shared" si="51"/>
        <v>563</v>
      </c>
      <c r="FV15" s="159">
        <f t="shared" si="52"/>
        <v>188</v>
      </c>
      <c r="FW15" s="193">
        <v>45.0</v>
      </c>
      <c r="FX15" s="193">
        <v>46.0</v>
      </c>
      <c r="FY15" s="193">
        <v>47.0</v>
      </c>
      <c r="FZ15" s="193">
        <v>50.0</v>
      </c>
      <c r="GA15" s="159">
        <f t="shared" si="53"/>
        <v>185</v>
      </c>
      <c r="GB15" s="193">
        <v>45.0</v>
      </c>
      <c r="GC15" s="193">
        <v>50.0</v>
      </c>
      <c r="GD15" s="193">
        <v>44.0</v>
      </c>
      <c r="GE15" s="193">
        <v>46.0</v>
      </c>
      <c r="GF15" s="159">
        <f t="shared" si="54"/>
        <v>190</v>
      </c>
      <c r="GG15" s="193">
        <v>40.0</v>
      </c>
      <c r="GH15" s="193">
        <v>48.0</v>
      </c>
      <c r="GI15" s="193">
        <v>52.0</v>
      </c>
      <c r="GJ15" s="193">
        <v>50.0</v>
      </c>
      <c r="GK15" s="158">
        <f t="shared" si="55"/>
        <v>464</v>
      </c>
      <c r="GL15" s="159">
        <f t="shared" si="56"/>
        <v>162</v>
      </c>
      <c r="GM15" s="193">
        <v>39.0</v>
      </c>
      <c r="GN15" s="193">
        <v>42.0</v>
      </c>
      <c r="GO15" s="193">
        <v>40.0</v>
      </c>
      <c r="GP15" s="193">
        <v>41.0</v>
      </c>
      <c r="GQ15" s="159">
        <f t="shared" si="57"/>
        <v>155</v>
      </c>
      <c r="GR15" s="193">
        <v>40.0</v>
      </c>
      <c r="GS15" s="193">
        <v>41.0</v>
      </c>
      <c r="GT15" s="193">
        <v>39.0</v>
      </c>
      <c r="GU15" s="193">
        <v>35.0</v>
      </c>
      <c r="GV15" s="159">
        <f t="shared" si="58"/>
        <v>147</v>
      </c>
      <c r="GW15" s="193">
        <v>34.0</v>
      </c>
      <c r="GX15" s="193">
        <v>32.0</v>
      </c>
      <c r="GY15" s="193">
        <v>39.0</v>
      </c>
      <c r="GZ15" s="193">
        <v>42.0</v>
      </c>
      <c r="HA15" s="15"/>
      <c r="HB15" s="15"/>
    </row>
    <row r="16" ht="15.75" customHeight="1">
      <c r="A16" s="13"/>
      <c r="B16" s="82"/>
      <c r="C16" s="152">
        <v>2.0</v>
      </c>
      <c r="D16" s="153" t="s">
        <v>52</v>
      </c>
      <c r="E16" s="154" t="s">
        <v>19</v>
      </c>
      <c r="F16" s="15"/>
      <c r="G16" s="155">
        <f t="shared" si="1"/>
        <v>5040</v>
      </c>
      <c r="H16" s="156">
        <f t="shared" si="2"/>
        <v>1680</v>
      </c>
      <c r="I16" s="157">
        <f t="shared" si="3"/>
        <v>840</v>
      </c>
      <c r="J16" s="158">
        <f t="shared" si="4"/>
        <v>420</v>
      </c>
      <c r="K16" s="159">
        <f t="shared" si="5"/>
        <v>140</v>
      </c>
      <c r="L16" s="160">
        <v>35.0</v>
      </c>
      <c r="M16" s="160">
        <v>35.0</v>
      </c>
      <c r="N16" s="160">
        <v>35.0</v>
      </c>
      <c r="O16" s="160">
        <v>35.0</v>
      </c>
      <c r="P16" s="159">
        <f t="shared" si="6"/>
        <v>140</v>
      </c>
      <c r="Q16" s="160">
        <v>35.0</v>
      </c>
      <c r="R16" s="160">
        <v>35.0</v>
      </c>
      <c r="S16" s="160">
        <v>35.0</v>
      </c>
      <c r="T16" s="160">
        <v>35.0</v>
      </c>
      <c r="U16" s="159">
        <f t="shared" si="7"/>
        <v>140</v>
      </c>
      <c r="V16" s="206">
        <v>35.0</v>
      </c>
      <c r="W16" s="164">
        <v>35.0</v>
      </c>
      <c r="X16" s="164">
        <v>35.0</v>
      </c>
      <c r="Y16" s="164">
        <v>35.0</v>
      </c>
      <c r="Z16" s="158">
        <f t="shared" si="8"/>
        <v>420</v>
      </c>
      <c r="AA16" s="159">
        <f t="shared" si="9"/>
        <v>140</v>
      </c>
      <c r="AB16" s="206">
        <v>35.0</v>
      </c>
      <c r="AC16" s="164">
        <v>35.0</v>
      </c>
      <c r="AD16" s="164">
        <v>35.0</v>
      </c>
      <c r="AE16" s="164">
        <v>35.0</v>
      </c>
      <c r="AF16" s="159">
        <f t="shared" si="10"/>
        <v>140</v>
      </c>
      <c r="AG16" s="160">
        <v>35.0</v>
      </c>
      <c r="AH16" s="160">
        <v>35.0</v>
      </c>
      <c r="AI16" s="160">
        <v>35.0</v>
      </c>
      <c r="AJ16" s="160">
        <v>35.0</v>
      </c>
      <c r="AK16" s="159">
        <f t="shared" si="11"/>
        <v>140</v>
      </c>
      <c r="AL16" s="160">
        <v>35.0</v>
      </c>
      <c r="AM16" s="160">
        <v>35.0</v>
      </c>
      <c r="AN16" s="160">
        <v>35.0</v>
      </c>
      <c r="AO16" s="160">
        <v>35.0</v>
      </c>
      <c r="AP16" s="157">
        <f t="shared" si="12"/>
        <v>840</v>
      </c>
      <c r="AQ16" s="158">
        <f t="shared" si="13"/>
        <v>420</v>
      </c>
      <c r="AR16" s="159">
        <f t="shared" si="14"/>
        <v>140</v>
      </c>
      <c r="AS16" s="160">
        <v>35.0</v>
      </c>
      <c r="AT16" s="160">
        <v>35.0</v>
      </c>
      <c r="AU16" s="160">
        <v>35.0</v>
      </c>
      <c r="AV16" s="160">
        <v>35.0</v>
      </c>
      <c r="AW16" s="159">
        <f t="shared" si="15"/>
        <v>140</v>
      </c>
      <c r="AX16" s="206">
        <v>35.0</v>
      </c>
      <c r="AY16" s="164">
        <v>35.0</v>
      </c>
      <c r="AZ16" s="164">
        <v>35.0</v>
      </c>
      <c r="BA16" s="164">
        <v>35.0</v>
      </c>
      <c r="BB16" s="159">
        <f t="shared" si="16"/>
        <v>140</v>
      </c>
      <c r="BC16" s="160">
        <v>35.0</v>
      </c>
      <c r="BD16" s="160">
        <v>35.0</v>
      </c>
      <c r="BE16" s="160">
        <v>35.0</v>
      </c>
      <c r="BF16" s="160">
        <v>35.0</v>
      </c>
      <c r="BG16" s="158">
        <f t="shared" si="17"/>
        <v>420</v>
      </c>
      <c r="BH16" s="159">
        <f t="shared" si="18"/>
        <v>140</v>
      </c>
      <c r="BI16" s="160">
        <v>35.0</v>
      </c>
      <c r="BJ16" s="160">
        <v>35.0</v>
      </c>
      <c r="BK16" s="160">
        <v>35.0</v>
      </c>
      <c r="BL16" s="160">
        <v>35.0</v>
      </c>
      <c r="BM16" s="159">
        <f t="shared" si="19"/>
        <v>140</v>
      </c>
      <c r="BN16" s="206">
        <v>35.0</v>
      </c>
      <c r="BO16" s="164">
        <v>35.0</v>
      </c>
      <c r="BP16" s="164">
        <v>35.0</v>
      </c>
      <c r="BQ16" s="164">
        <v>35.0</v>
      </c>
      <c r="BR16" s="159">
        <f t="shared" si="20"/>
        <v>140</v>
      </c>
      <c r="BS16" s="160">
        <v>35.0</v>
      </c>
      <c r="BT16" s="160">
        <v>35.0</v>
      </c>
      <c r="BU16" s="160">
        <v>35.0</v>
      </c>
      <c r="BV16" s="160">
        <v>35.0</v>
      </c>
      <c r="BW16" s="156">
        <f t="shared" si="21"/>
        <v>1680</v>
      </c>
      <c r="BX16" s="157">
        <f t="shared" si="22"/>
        <v>840</v>
      </c>
      <c r="BY16" s="158">
        <f t="shared" si="23"/>
        <v>420</v>
      </c>
      <c r="BZ16" s="159">
        <f t="shared" si="24"/>
        <v>140</v>
      </c>
      <c r="CA16" s="160">
        <v>35.0</v>
      </c>
      <c r="CB16" s="160">
        <v>35.0</v>
      </c>
      <c r="CC16" s="160">
        <v>35.0</v>
      </c>
      <c r="CD16" s="160">
        <v>35.0</v>
      </c>
      <c r="CE16" s="159">
        <f t="shared" si="25"/>
        <v>140</v>
      </c>
      <c r="CF16" s="160">
        <v>35.0</v>
      </c>
      <c r="CG16" s="160">
        <v>35.0</v>
      </c>
      <c r="CH16" s="160">
        <v>35.0</v>
      </c>
      <c r="CI16" s="160">
        <v>35.0</v>
      </c>
      <c r="CJ16" s="159">
        <f t="shared" si="26"/>
        <v>140</v>
      </c>
      <c r="CK16" s="206">
        <v>35.0</v>
      </c>
      <c r="CL16" s="164">
        <v>35.0</v>
      </c>
      <c r="CM16" s="164">
        <v>35.0</v>
      </c>
      <c r="CN16" s="164">
        <v>35.0</v>
      </c>
      <c r="CO16" s="158">
        <f t="shared" si="27"/>
        <v>420</v>
      </c>
      <c r="CP16" s="159">
        <f t="shared" si="28"/>
        <v>140</v>
      </c>
      <c r="CQ16" s="160">
        <v>35.0</v>
      </c>
      <c r="CR16" s="160">
        <v>35.0</v>
      </c>
      <c r="CS16" s="160">
        <v>35.0</v>
      </c>
      <c r="CT16" s="160">
        <v>35.0</v>
      </c>
      <c r="CU16" s="159">
        <f t="shared" si="29"/>
        <v>140</v>
      </c>
      <c r="CV16" s="160">
        <v>35.0</v>
      </c>
      <c r="CW16" s="160">
        <v>35.0</v>
      </c>
      <c r="CX16" s="160">
        <v>35.0</v>
      </c>
      <c r="CY16" s="160">
        <v>35.0</v>
      </c>
      <c r="CZ16" s="159">
        <f t="shared" si="30"/>
        <v>140</v>
      </c>
      <c r="DA16" s="206">
        <v>35.0</v>
      </c>
      <c r="DB16" s="164">
        <v>35.0</v>
      </c>
      <c r="DC16" s="164">
        <v>35.0</v>
      </c>
      <c r="DD16" s="164">
        <v>35.0</v>
      </c>
      <c r="DE16" s="157">
        <f t="shared" si="31"/>
        <v>840</v>
      </c>
      <c r="DF16" s="158">
        <f t="shared" si="32"/>
        <v>420</v>
      </c>
      <c r="DG16" s="159">
        <f t="shared" si="33"/>
        <v>140</v>
      </c>
      <c r="DH16" s="206">
        <v>35.0</v>
      </c>
      <c r="DI16" s="164">
        <v>35.0</v>
      </c>
      <c r="DJ16" s="164">
        <v>35.0</v>
      </c>
      <c r="DK16" s="164">
        <v>35.0</v>
      </c>
      <c r="DL16" s="159">
        <f t="shared" si="34"/>
        <v>140</v>
      </c>
      <c r="DM16" s="160">
        <v>35.0</v>
      </c>
      <c r="DN16" s="160">
        <v>35.0</v>
      </c>
      <c r="DO16" s="160">
        <v>35.0</v>
      </c>
      <c r="DP16" s="160">
        <v>35.0</v>
      </c>
      <c r="DQ16" s="159">
        <f t="shared" si="35"/>
        <v>140</v>
      </c>
      <c r="DR16" s="160">
        <v>35.0</v>
      </c>
      <c r="DS16" s="160">
        <v>35.0</v>
      </c>
      <c r="DT16" s="160">
        <v>35.0</v>
      </c>
      <c r="DU16" s="160">
        <v>35.0</v>
      </c>
      <c r="DV16" s="158">
        <f t="shared" si="36"/>
        <v>420</v>
      </c>
      <c r="DW16" s="159">
        <f t="shared" si="37"/>
        <v>140</v>
      </c>
      <c r="DX16" s="160">
        <v>35.0</v>
      </c>
      <c r="DY16" s="160">
        <v>35.0</v>
      </c>
      <c r="DZ16" s="160">
        <v>35.0</v>
      </c>
      <c r="EA16" s="160">
        <v>35.0</v>
      </c>
      <c r="EB16" s="159">
        <f t="shared" si="38"/>
        <v>140</v>
      </c>
      <c r="EC16" s="160">
        <v>35.0</v>
      </c>
      <c r="ED16" s="160">
        <v>35.0</v>
      </c>
      <c r="EE16" s="160">
        <v>35.0</v>
      </c>
      <c r="EF16" s="160">
        <v>35.0</v>
      </c>
      <c r="EG16" s="159">
        <f t="shared" si="39"/>
        <v>140</v>
      </c>
      <c r="EH16" s="206">
        <v>35.0</v>
      </c>
      <c r="EI16" s="164">
        <v>35.0</v>
      </c>
      <c r="EJ16" s="164">
        <v>35.0</v>
      </c>
      <c r="EK16" s="164">
        <v>35.0</v>
      </c>
      <c r="EL16" s="156">
        <f t="shared" si="40"/>
        <v>1680</v>
      </c>
      <c r="EM16" s="157">
        <f t="shared" si="41"/>
        <v>840</v>
      </c>
      <c r="EN16" s="158">
        <f t="shared" si="42"/>
        <v>420</v>
      </c>
      <c r="EO16" s="159">
        <f t="shared" si="43"/>
        <v>140</v>
      </c>
      <c r="EP16" s="160">
        <v>35.0</v>
      </c>
      <c r="EQ16" s="160">
        <v>35.0</v>
      </c>
      <c r="ER16" s="160">
        <v>35.0</v>
      </c>
      <c r="ES16" s="160">
        <v>35.0</v>
      </c>
      <c r="ET16" s="159">
        <f t="shared" si="44"/>
        <v>140</v>
      </c>
      <c r="EU16" s="206">
        <v>35.0</v>
      </c>
      <c r="EV16" s="164">
        <v>35.0</v>
      </c>
      <c r="EW16" s="164">
        <v>35.0</v>
      </c>
      <c r="EX16" s="164">
        <v>35.0</v>
      </c>
      <c r="EY16" s="159">
        <f t="shared" si="45"/>
        <v>140</v>
      </c>
      <c r="EZ16" s="160">
        <v>35.0</v>
      </c>
      <c r="FA16" s="160">
        <v>35.0</v>
      </c>
      <c r="FB16" s="160">
        <v>35.0</v>
      </c>
      <c r="FC16" s="160">
        <v>35.0</v>
      </c>
      <c r="FD16" s="158">
        <f t="shared" si="46"/>
        <v>420</v>
      </c>
      <c r="FE16" s="159">
        <f t="shared" si="47"/>
        <v>140</v>
      </c>
      <c r="FF16" s="160">
        <v>35.0</v>
      </c>
      <c r="FG16" s="160">
        <v>35.0</v>
      </c>
      <c r="FH16" s="160">
        <v>35.0</v>
      </c>
      <c r="FI16" s="160">
        <v>35.0</v>
      </c>
      <c r="FJ16" s="159">
        <f t="shared" si="48"/>
        <v>140</v>
      </c>
      <c r="FK16" s="160">
        <v>35.0</v>
      </c>
      <c r="FL16" s="160">
        <v>35.0</v>
      </c>
      <c r="FM16" s="160">
        <v>35.0</v>
      </c>
      <c r="FN16" s="160">
        <v>35.0</v>
      </c>
      <c r="FO16" s="159">
        <f t="shared" si="49"/>
        <v>140</v>
      </c>
      <c r="FP16" s="206">
        <v>35.0</v>
      </c>
      <c r="FQ16" s="164">
        <v>35.0</v>
      </c>
      <c r="FR16" s="164">
        <v>35.0</v>
      </c>
      <c r="FS16" s="164">
        <v>35.0</v>
      </c>
      <c r="FT16" s="157">
        <f t="shared" si="50"/>
        <v>840</v>
      </c>
      <c r="FU16" s="158">
        <f t="shared" si="51"/>
        <v>420</v>
      </c>
      <c r="FV16" s="159">
        <f t="shared" si="52"/>
        <v>140</v>
      </c>
      <c r="FW16" s="206">
        <v>35.0</v>
      </c>
      <c r="FX16" s="164">
        <v>35.0</v>
      </c>
      <c r="FY16" s="164">
        <v>35.0</v>
      </c>
      <c r="FZ16" s="164">
        <v>35.0</v>
      </c>
      <c r="GA16" s="159">
        <f t="shared" si="53"/>
        <v>140</v>
      </c>
      <c r="GB16" s="160">
        <v>35.0</v>
      </c>
      <c r="GC16" s="160">
        <v>35.0</v>
      </c>
      <c r="GD16" s="160">
        <v>35.0</v>
      </c>
      <c r="GE16" s="160">
        <v>35.0</v>
      </c>
      <c r="GF16" s="159">
        <f t="shared" si="54"/>
        <v>140</v>
      </c>
      <c r="GG16" s="160">
        <v>35.0</v>
      </c>
      <c r="GH16" s="160">
        <v>35.0</v>
      </c>
      <c r="GI16" s="160">
        <v>35.0</v>
      </c>
      <c r="GJ16" s="160">
        <v>35.0</v>
      </c>
      <c r="GK16" s="158">
        <f t="shared" si="55"/>
        <v>420</v>
      </c>
      <c r="GL16" s="159">
        <f t="shared" si="56"/>
        <v>140</v>
      </c>
      <c r="GM16" s="206">
        <v>35.0</v>
      </c>
      <c r="GN16" s="164">
        <v>35.0</v>
      </c>
      <c r="GO16" s="164">
        <v>35.0</v>
      </c>
      <c r="GP16" s="164">
        <v>35.0</v>
      </c>
      <c r="GQ16" s="159">
        <f t="shared" si="57"/>
        <v>140</v>
      </c>
      <c r="GR16" s="160">
        <v>35.0</v>
      </c>
      <c r="GS16" s="160">
        <v>35.0</v>
      </c>
      <c r="GT16" s="160">
        <v>35.0</v>
      </c>
      <c r="GU16" s="160">
        <v>35.0</v>
      </c>
      <c r="GV16" s="159">
        <f t="shared" si="58"/>
        <v>140</v>
      </c>
      <c r="GW16" s="160">
        <v>35.0</v>
      </c>
      <c r="GX16" s="160">
        <v>35.0</v>
      </c>
      <c r="GY16" s="160">
        <v>35.0</v>
      </c>
      <c r="GZ16" s="160">
        <v>35.0</v>
      </c>
      <c r="HA16" s="15"/>
      <c r="HB16" s="15"/>
    </row>
    <row r="17" ht="15.75" customHeight="1">
      <c r="A17" s="13"/>
      <c r="B17" s="82"/>
      <c r="C17" s="78"/>
      <c r="D17" s="78"/>
      <c r="E17" s="154" t="s">
        <v>26</v>
      </c>
      <c r="F17" s="15"/>
      <c r="G17" s="155">
        <f t="shared" si="1"/>
        <v>4434</v>
      </c>
      <c r="H17" s="156">
        <f t="shared" si="2"/>
        <v>1478</v>
      </c>
      <c r="I17" s="157">
        <f t="shared" si="3"/>
        <v>739</v>
      </c>
      <c r="J17" s="158">
        <f t="shared" si="4"/>
        <v>406</v>
      </c>
      <c r="K17" s="159">
        <f t="shared" si="5"/>
        <v>133</v>
      </c>
      <c r="L17" s="193">
        <v>30.0</v>
      </c>
      <c r="M17" s="193">
        <v>35.0</v>
      </c>
      <c r="N17" s="193">
        <v>32.0</v>
      </c>
      <c r="O17" s="193">
        <v>36.0</v>
      </c>
      <c r="P17" s="159">
        <f t="shared" si="6"/>
        <v>152</v>
      </c>
      <c r="Q17" s="193">
        <v>35.0</v>
      </c>
      <c r="R17" s="193">
        <v>40.0</v>
      </c>
      <c r="S17" s="193">
        <v>42.0</v>
      </c>
      <c r="T17" s="193">
        <v>35.0</v>
      </c>
      <c r="U17" s="159">
        <f t="shared" si="7"/>
        <v>121</v>
      </c>
      <c r="V17" s="193">
        <v>34.0</v>
      </c>
      <c r="W17" s="193">
        <v>30.0</v>
      </c>
      <c r="X17" s="193">
        <v>25.0</v>
      </c>
      <c r="Y17" s="193">
        <v>32.0</v>
      </c>
      <c r="Z17" s="158">
        <f t="shared" si="8"/>
        <v>333</v>
      </c>
      <c r="AA17" s="159">
        <f t="shared" si="9"/>
        <v>110</v>
      </c>
      <c r="AB17" s="193">
        <v>29.0</v>
      </c>
      <c r="AC17" s="193">
        <v>28.0</v>
      </c>
      <c r="AD17" s="193">
        <v>27.0</v>
      </c>
      <c r="AE17" s="193">
        <v>26.0</v>
      </c>
      <c r="AF17" s="159">
        <f t="shared" si="10"/>
        <v>102</v>
      </c>
      <c r="AG17" s="193">
        <v>25.0</v>
      </c>
      <c r="AH17" s="193">
        <v>24.0</v>
      </c>
      <c r="AI17" s="193">
        <v>26.0</v>
      </c>
      <c r="AJ17" s="193">
        <v>27.0</v>
      </c>
      <c r="AK17" s="159">
        <f t="shared" si="11"/>
        <v>121</v>
      </c>
      <c r="AL17" s="193">
        <v>28.0</v>
      </c>
      <c r="AM17" s="193">
        <v>30.0</v>
      </c>
      <c r="AN17" s="193">
        <v>31.0</v>
      </c>
      <c r="AO17" s="193">
        <v>32.0</v>
      </c>
      <c r="AP17" s="157">
        <f t="shared" si="12"/>
        <v>739</v>
      </c>
      <c r="AQ17" s="158">
        <f t="shared" si="13"/>
        <v>333</v>
      </c>
      <c r="AR17" s="159">
        <f t="shared" si="14"/>
        <v>121</v>
      </c>
      <c r="AS17" s="193">
        <v>28.0</v>
      </c>
      <c r="AT17" s="193">
        <v>30.0</v>
      </c>
      <c r="AU17" s="193">
        <v>31.0</v>
      </c>
      <c r="AV17" s="193">
        <v>32.0</v>
      </c>
      <c r="AW17" s="159">
        <f t="shared" si="15"/>
        <v>110</v>
      </c>
      <c r="AX17" s="193">
        <v>29.0</v>
      </c>
      <c r="AY17" s="193">
        <v>28.0</v>
      </c>
      <c r="AZ17" s="193">
        <v>27.0</v>
      </c>
      <c r="BA17" s="193">
        <v>26.0</v>
      </c>
      <c r="BB17" s="159">
        <f t="shared" si="16"/>
        <v>102</v>
      </c>
      <c r="BC17" s="193">
        <v>25.0</v>
      </c>
      <c r="BD17" s="193">
        <v>24.0</v>
      </c>
      <c r="BE17" s="193">
        <v>26.0</v>
      </c>
      <c r="BF17" s="193">
        <v>27.0</v>
      </c>
      <c r="BG17" s="158">
        <f t="shared" si="17"/>
        <v>406</v>
      </c>
      <c r="BH17" s="159">
        <f t="shared" si="18"/>
        <v>152</v>
      </c>
      <c r="BI17" s="193">
        <v>35.0</v>
      </c>
      <c r="BJ17" s="193">
        <v>40.0</v>
      </c>
      <c r="BK17" s="193">
        <v>42.0</v>
      </c>
      <c r="BL17" s="193">
        <v>35.0</v>
      </c>
      <c r="BM17" s="159">
        <f t="shared" si="19"/>
        <v>121</v>
      </c>
      <c r="BN17" s="193">
        <v>34.0</v>
      </c>
      <c r="BO17" s="193">
        <v>30.0</v>
      </c>
      <c r="BP17" s="193">
        <v>25.0</v>
      </c>
      <c r="BQ17" s="193">
        <v>32.0</v>
      </c>
      <c r="BR17" s="159">
        <f t="shared" si="20"/>
        <v>133</v>
      </c>
      <c r="BS17" s="193">
        <v>30.0</v>
      </c>
      <c r="BT17" s="193">
        <v>35.0</v>
      </c>
      <c r="BU17" s="193">
        <v>32.0</v>
      </c>
      <c r="BV17" s="193">
        <v>36.0</v>
      </c>
      <c r="BW17" s="156">
        <f t="shared" si="21"/>
        <v>1478</v>
      </c>
      <c r="BX17" s="157">
        <f t="shared" si="22"/>
        <v>739</v>
      </c>
      <c r="BY17" s="158">
        <f t="shared" si="23"/>
        <v>333</v>
      </c>
      <c r="BZ17" s="159">
        <f t="shared" si="24"/>
        <v>102</v>
      </c>
      <c r="CA17" s="193">
        <v>25.0</v>
      </c>
      <c r="CB17" s="193">
        <v>24.0</v>
      </c>
      <c r="CC17" s="193">
        <v>26.0</v>
      </c>
      <c r="CD17" s="193">
        <v>27.0</v>
      </c>
      <c r="CE17" s="159">
        <f t="shared" si="25"/>
        <v>121</v>
      </c>
      <c r="CF17" s="193">
        <v>28.0</v>
      </c>
      <c r="CG17" s="193">
        <v>30.0</v>
      </c>
      <c r="CH17" s="193">
        <v>31.0</v>
      </c>
      <c r="CI17" s="193">
        <v>32.0</v>
      </c>
      <c r="CJ17" s="159">
        <f t="shared" si="26"/>
        <v>110</v>
      </c>
      <c r="CK17" s="193">
        <v>29.0</v>
      </c>
      <c r="CL17" s="193">
        <v>28.0</v>
      </c>
      <c r="CM17" s="193">
        <v>27.0</v>
      </c>
      <c r="CN17" s="193">
        <v>26.0</v>
      </c>
      <c r="CO17" s="158">
        <f t="shared" si="27"/>
        <v>406</v>
      </c>
      <c r="CP17" s="159">
        <f t="shared" si="28"/>
        <v>133</v>
      </c>
      <c r="CQ17" s="193">
        <v>30.0</v>
      </c>
      <c r="CR17" s="193">
        <v>35.0</v>
      </c>
      <c r="CS17" s="193">
        <v>32.0</v>
      </c>
      <c r="CT17" s="193">
        <v>36.0</v>
      </c>
      <c r="CU17" s="159">
        <f t="shared" si="29"/>
        <v>152</v>
      </c>
      <c r="CV17" s="193">
        <v>35.0</v>
      </c>
      <c r="CW17" s="193">
        <v>40.0</v>
      </c>
      <c r="CX17" s="193">
        <v>42.0</v>
      </c>
      <c r="CY17" s="193">
        <v>35.0</v>
      </c>
      <c r="CZ17" s="159">
        <f t="shared" si="30"/>
        <v>121</v>
      </c>
      <c r="DA17" s="193">
        <v>34.0</v>
      </c>
      <c r="DB17" s="193">
        <v>30.0</v>
      </c>
      <c r="DC17" s="193">
        <v>25.0</v>
      </c>
      <c r="DD17" s="193">
        <v>32.0</v>
      </c>
      <c r="DE17" s="157">
        <f t="shared" si="31"/>
        <v>739</v>
      </c>
      <c r="DF17" s="158">
        <f t="shared" si="32"/>
        <v>406</v>
      </c>
      <c r="DG17" s="159">
        <f t="shared" si="33"/>
        <v>121</v>
      </c>
      <c r="DH17" s="193">
        <v>34.0</v>
      </c>
      <c r="DI17" s="193">
        <v>30.0</v>
      </c>
      <c r="DJ17" s="193">
        <v>25.0</v>
      </c>
      <c r="DK17" s="193">
        <v>32.0</v>
      </c>
      <c r="DL17" s="159">
        <f t="shared" si="34"/>
        <v>133</v>
      </c>
      <c r="DM17" s="193">
        <v>30.0</v>
      </c>
      <c r="DN17" s="193">
        <v>35.0</v>
      </c>
      <c r="DO17" s="193">
        <v>32.0</v>
      </c>
      <c r="DP17" s="193">
        <v>36.0</v>
      </c>
      <c r="DQ17" s="159">
        <f t="shared" si="35"/>
        <v>152</v>
      </c>
      <c r="DR17" s="193">
        <v>35.0</v>
      </c>
      <c r="DS17" s="193">
        <v>40.0</v>
      </c>
      <c r="DT17" s="193">
        <v>42.0</v>
      </c>
      <c r="DU17" s="193">
        <v>35.0</v>
      </c>
      <c r="DV17" s="158">
        <f t="shared" si="36"/>
        <v>333</v>
      </c>
      <c r="DW17" s="159">
        <f t="shared" si="37"/>
        <v>121</v>
      </c>
      <c r="DX17" s="193">
        <v>28.0</v>
      </c>
      <c r="DY17" s="193">
        <v>30.0</v>
      </c>
      <c r="DZ17" s="193">
        <v>31.0</v>
      </c>
      <c r="EA17" s="193">
        <v>32.0</v>
      </c>
      <c r="EB17" s="159">
        <f t="shared" si="38"/>
        <v>102</v>
      </c>
      <c r="EC17" s="193">
        <v>25.0</v>
      </c>
      <c r="ED17" s="193">
        <v>24.0</v>
      </c>
      <c r="EE17" s="193">
        <v>26.0</v>
      </c>
      <c r="EF17" s="193">
        <v>27.0</v>
      </c>
      <c r="EG17" s="159">
        <f t="shared" si="39"/>
        <v>110</v>
      </c>
      <c r="EH17" s="193">
        <v>29.0</v>
      </c>
      <c r="EI17" s="193">
        <v>28.0</v>
      </c>
      <c r="EJ17" s="193">
        <v>27.0</v>
      </c>
      <c r="EK17" s="193">
        <v>26.0</v>
      </c>
      <c r="EL17" s="156">
        <f t="shared" si="40"/>
        <v>1478</v>
      </c>
      <c r="EM17" s="157">
        <f t="shared" si="41"/>
        <v>739</v>
      </c>
      <c r="EN17" s="158">
        <f t="shared" si="42"/>
        <v>333</v>
      </c>
      <c r="EO17" s="159">
        <f t="shared" si="43"/>
        <v>102</v>
      </c>
      <c r="EP17" s="193">
        <v>25.0</v>
      </c>
      <c r="EQ17" s="193">
        <v>24.0</v>
      </c>
      <c r="ER17" s="193">
        <v>26.0</v>
      </c>
      <c r="ES17" s="193">
        <v>27.0</v>
      </c>
      <c r="ET17" s="159">
        <f t="shared" si="44"/>
        <v>110</v>
      </c>
      <c r="EU17" s="193">
        <v>29.0</v>
      </c>
      <c r="EV17" s="193">
        <v>28.0</v>
      </c>
      <c r="EW17" s="193">
        <v>27.0</v>
      </c>
      <c r="EX17" s="193">
        <v>26.0</v>
      </c>
      <c r="EY17" s="159">
        <f t="shared" si="45"/>
        <v>121</v>
      </c>
      <c r="EZ17" s="193">
        <v>28.0</v>
      </c>
      <c r="FA17" s="193">
        <v>30.0</v>
      </c>
      <c r="FB17" s="193">
        <v>31.0</v>
      </c>
      <c r="FC17" s="193">
        <v>32.0</v>
      </c>
      <c r="FD17" s="158">
        <f t="shared" si="46"/>
        <v>406</v>
      </c>
      <c r="FE17" s="159">
        <f t="shared" si="47"/>
        <v>133</v>
      </c>
      <c r="FF17" s="193">
        <v>30.0</v>
      </c>
      <c r="FG17" s="193">
        <v>35.0</v>
      </c>
      <c r="FH17" s="193">
        <v>32.0</v>
      </c>
      <c r="FI17" s="193">
        <v>36.0</v>
      </c>
      <c r="FJ17" s="159">
        <f t="shared" si="48"/>
        <v>152</v>
      </c>
      <c r="FK17" s="193">
        <v>35.0</v>
      </c>
      <c r="FL17" s="193">
        <v>40.0</v>
      </c>
      <c r="FM17" s="193">
        <v>42.0</v>
      </c>
      <c r="FN17" s="193">
        <v>35.0</v>
      </c>
      <c r="FO17" s="159">
        <f t="shared" si="49"/>
        <v>121</v>
      </c>
      <c r="FP17" s="193">
        <v>34.0</v>
      </c>
      <c r="FQ17" s="193">
        <v>30.0</v>
      </c>
      <c r="FR17" s="193">
        <v>25.0</v>
      </c>
      <c r="FS17" s="193">
        <v>32.0</v>
      </c>
      <c r="FT17" s="157">
        <f t="shared" si="50"/>
        <v>739</v>
      </c>
      <c r="FU17" s="158">
        <f t="shared" si="51"/>
        <v>406</v>
      </c>
      <c r="FV17" s="159">
        <f t="shared" si="52"/>
        <v>121</v>
      </c>
      <c r="FW17" s="193">
        <v>34.0</v>
      </c>
      <c r="FX17" s="193">
        <v>30.0</v>
      </c>
      <c r="FY17" s="193">
        <v>25.0</v>
      </c>
      <c r="FZ17" s="193">
        <v>32.0</v>
      </c>
      <c r="GA17" s="159">
        <f t="shared" si="53"/>
        <v>133</v>
      </c>
      <c r="GB17" s="193">
        <v>30.0</v>
      </c>
      <c r="GC17" s="193">
        <v>35.0</v>
      </c>
      <c r="GD17" s="193">
        <v>32.0</v>
      </c>
      <c r="GE17" s="193">
        <v>36.0</v>
      </c>
      <c r="GF17" s="159">
        <f t="shared" si="54"/>
        <v>152</v>
      </c>
      <c r="GG17" s="193">
        <v>35.0</v>
      </c>
      <c r="GH17" s="193">
        <v>40.0</v>
      </c>
      <c r="GI17" s="193">
        <v>42.0</v>
      </c>
      <c r="GJ17" s="193">
        <v>35.0</v>
      </c>
      <c r="GK17" s="158">
        <f t="shared" si="55"/>
        <v>333</v>
      </c>
      <c r="GL17" s="159">
        <f t="shared" si="56"/>
        <v>110</v>
      </c>
      <c r="GM17" s="193">
        <v>29.0</v>
      </c>
      <c r="GN17" s="193">
        <v>28.0</v>
      </c>
      <c r="GO17" s="193">
        <v>27.0</v>
      </c>
      <c r="GP17" s="193">
        <v>26.0</v>
      </c>
      <c r="GQ17" s="159">
        <f t="shared" si="57"/>
        <v>102</v>
      </c>
      <c r="GR17" s="193">
        <v>25.0</v>
      </c>
      <c r="GS17" s="193">
        <v>24.0</v>
      </c>
      <c r="GT17" s="193">
        <v>26.0</v>
      </c>
      <c r="GU17" s="193">
        <v>27.0</v>
      </c>
      <c r="GV17" s="159">
        <f t="shared" si="58"/>
        <v>121</v>
      </c>
      <c r="GW17" s="193">
        <v>28.0</v>
      </c>
      <c r="GX17" s="193">
        <v>30.0</v>
      </c>
      <c r="GY17" s="193">
        <v>31.0</v>
      </c>
      <c r="GZ17" s="193">
        <v>32.0</v>
      </c>
      <c r="HA17" s="15"/>
      <c r="HB17" s="15"/>
    </row>
    <row r="18" ht="15.75" customHeight="1">
      <c r="A18" s="13"/>
      <c r="B18" s="82"/>
      <c r="C18" s="152">
        <v>3.0</v>
      </c>
      <c r="D18" s="153" t="s">
        <v>53</v>
      </c>
      <c r="E18" s="154" t="s">
        <v>19</v>
      </c>
      <c r="F18" s="15"/>
      <c r="G18" s="155">
        <f t="shared" si="1"/>
        <v>2016</v>
      </c>
      <c r="H18" s="156">
        <f t="shared" si="2"/>
        <v>672</v>
      </c>
      <c r="I18" s="157">
        <f t="shared" si="3"/>
        <v>336</v>
      </c>
      <c r="J18" s="158">
        <f t="shared" si="4"/>
        <v>168</v>
      </c>
      <c r="K18" s="159">
        <f t="shared" si="5"/>
        <v>56</v>
      </c>
      <c r="L18" s="207">
        <v>14.0</v>
      </c>
      <c r="M18" s="207">
        <v>14.0</v>
      </c>
      <c r="N18" s="207">
        <v>14.0</v>
      </c>
      <c r="O18" s="207">
        <v>14.0</v>
      </c>
      <c r="P18" s="159">
        <f t="shared" si="6"/>
        <v>56</v>
      </c>
      <c r="Q18" s="207">
        <v>14.0</v>
      </c>
      <c r="R18" s="207">
        <v>14.0</v>
      </c>
      <c r="S18" s="207">
        <v>14.0</v>
      </c>
      <c r="T18" s="207">
        <v>14.0</v>
      </c>
      <c r="U18" s="159">
        <f t="shared" si="7"/>
        <v>56</v>
      </c>
      <c r="V18" s="207">
        <v>14.0</v>
      </c>
      <c r="W18" s="207">
        <v>14.0</v>
      </c>
      <c r="X18" s="207">
        <v>14.0</v>
      </c>
      <c r="Y18" s="207">
        <v>14.0</v>
      </c>
      <c r="Z18" s="158">
        <f t="shared" si="8"/>
        <v>168</v>
      </c>
      <c r="AA18" s="159">
        <f t="shared" si="9"/>
        <v>56</v>
      </c>
      <c r="AB18" s="207">
        <v>14.0</v>
      </c>
      <c r="AC18" s="207">
        <v>14.0</v>
      </c>
      <c r="AD18" s="207">
        <v>14.0</v>
      </c>
      <c r="AE18" s="207">
        <v>14.0</v>
      </c>
      <c r="AF18" s="159">
        <f t="shared" si="10"/>
        <v>56</v>
      </c>
      <c r="AG18" s="207">
        <v>14.0</v>
      </c>
      <c r="AH18" s="207">
        <v>14.0</v>
      </c>
      <c r="AI18" s="207">
        <v>14.0</v>
      </c>
      <c r="AJ18" s="207">
        <v>14.0</v>
      </c>
      <c r="AK18" s="159">
        <f t="shared" si="11"/>
        <v>56</v>
      </c>
      <c r="AL18" s="207">
        <v>14.0</v>
      </c>
      <c r="AM18" s="207">
        <v>14.0</v>
      </c>
      <c r="AN18" s="207">
        <v>14.0</v>
      </c>
      <c r="AO18" s="207">
        <v>14.0</v>
      </c>
      <c r="AP18" s="157">
        <f t="shared" si="12"/>
        <v>336</v>
      </c>
      <c r="AQ18" s="158">
        <f t="shared" si="13"/>
        <v>168</v>
      </c>
      <c r="AR18" s="159">
        <f t="shared" si="14"/>
        <v>56</v>
      </c>
      <c r="AS18" s="207">
        <v>14.0</v>
      </c>
      <c r="AT18" s="207">
        <v>14.0</v>
      </c>
      <c r="AU18" s="207">
        <v>14.0</v>
      </c>
      <c r="AV18" s="207">
        <v>14.0</v>
      </c>
      <c r="AW18" s="159">
        <f t="shared" si="15"/>
        <v>56</v>
      </c>
      <c r="AX18" s="207">
        <v>14.0</v>
      </c>
      <c r="AY18" s="207">
        <v>14.0</v>
      </c>
      <c r="AZ18" s="207">
        <v>14.0</v>
      </c>
      <c r="BA18" s="207">
        <v>14.0</v>
      </c>
      <c r="BB18" s="159">
        <f t="shared" si="16"/>
        <v>56</v>
      </c>
      <c r="BC18" s="207">
        <v>14.0</v>
      </c>
      <c r="BD18" s="207">
        <v>14.0</v>
      </c>
      <c r="BE18" s="207">
        <v>14.0</v>
      </c>
      <c r="BF18" s="207">
        <v>14.0</v>
      </c>
      <c r="BG18" s="158">
        <f t="shared" si="17"/>
        <v>168</v>
      </c>
      <c r="BH18" s="159">
        <f t="shared" si="18"/>
        <v>56</v>
      </c>
      <c r="BI18" s="207">
        <v>14.0</v>
      </c>
      <c r="BJ18" s="207">
        <v>14.0</v>
      </c>
      <c r="BK18" s="207">
        <v>14.0</v>
      </c>
      <c r="BL18" s="207">
        <v>14.0</v>
      </c>
      <c r="BM18" s="159">
        <f t="shared" si="19"/>
        <v>56</v>
      </c>
      <c r="BN18" s="207">
        <v>14.0</v>
      </c>
      <c r="BO18" s="207">
        <v>14.0</v>
      </c>
      <c r="BP18" s="207">
        <v>14.0</v>
      </c>
      <c r="BQ18" s="207">
        <v>14.0</v>
      </c>
      <c r="BR18" s="159">
        <f t="shared" si="20"/>
        <v>56</v>
      </c>
      <c r="BS18" s="207">
        <v>14.0</v>
      </c>
      <c r="BT18" s="207">
        <v>14.0</v>
      </c>
      <c r="BU18" s="207">
        <v>14.0</v>
      </c>
      <c r="BV18" s="207">
        <v>14.0</v>
      </c>
      <c r="BW18" s="156">
        <f t="shared" si="21"/>
        <v>672</v>
      </c>
      <c r="BX18" s="157">
        <f t="shared" si="22"/>
        <v>336</v>
      </c>
      <c r="BY18" s="158">
        <f t="shared" si="23"/>
        <v>168</v>
      </c>
      <c r="BZ18" s="159">
        <f t="shared" si="24"/>
        <v>56</v>
      </c>
      <c r="CA18" s="207">
        <v>14.0</v>
      </c>
      <c r="CB18" s="207">
        <v>14.0</v>
      </c>
      <c r="CC18" s="207">
        <v>14.0</v>
      </c>
      <c r="CD18" s="207">
        <v>14.0</v>
      </c>
      <c r="CE18" s="159">
        <f t="shared" si="25"/>
        <v>56</v>
      </c>
      <c r="CF18" s="207">
        <v>14.0</v>
      </c>
      <c r="CG18" s="207">
        <v>14.0</v>
      </c>
      <c r="CH18" s="207">
        <v>14.0</v>
      </c>
      <c r="CI18" s="207">
        <v>14.0</v>
      </c>
      <c r="CJ18" s="159">
        <f t="shared" si="26"/>
        <v>56</v>
      </c>
      <c r="CK18" s="207">
        <v>14.0</v>
      </c>
      <c r="CL18" s="207">
        <v>14.0</v>
      </c>
      <c r="CM18" s="207">
        <v>14.0</v>
      </c>
      <c r="CN18" s="207">
        <v>14.0</v>
      </c>
      <c r="CO18" s="158">
        <f t="shared" si="27"/>
        <v>168</v>
      </c>
      <c r="CP18" s="159">
        <f t="shared" si="28"/>
        <v>56</v>
      </c>
      <c r="CQ18" s="207">
        <v>14.0</v>
      </c>
      <c r="CR18" s="207">
        <v>14.0</v>
      </c>
      <c r="CS18" s="207">
        <v>14.0</v>
      </c>
      <c r="CT18" s="207">
        <v>14.0</v>
      </c>
      <c r="CU18" s="159">
        <f t="shared" si="29"/>
        <v>56</v>
      </c>
      <c r="CV18" s="207">
        <v>14.0</v>
      </c>
      <c r="CW18" s="207">
        <v>14.0</v>
      </c>
      <c r="CX18" s="207">
        <v>14.0</v>
      </c>
      <c r="CY18" s="207">
        <v>14.0</v>
      </c>
      <c r="CZ18" s="159">
        <f t="shared" si="30"/>
        <v>56</v>
      </c>
      <c r="DA18" s="207">
        <v>14.0</v>
      </c>
      <c r="DB18" s="207">
        <v>14.0</v>
      </c>
      <c r="DC18" s="207">
        <v>14.0</v>
      </c>
      <c r="DD18" s="207">
        <v>14.0</v>
      </c>
      <c r="DE18" s="157">
        <f t="shared" si="31"/>
        <v>336</v>
      </c>
      <c r="DF18" s="158">
        <f t="shared" si="32"/>
        <v>168</v>
      </c>
      <c r="DG18" s="159">
        <f t="shared" si="33"/>
        <v>56</v>
      </c>
      <c r="DH18" s="207">
        <v>14.0</v>
      </c>
      <c r="DI18" s="207">
        <v>14.0</v>
      </c>
      <c r="DJ18" s="207">
        <v>14.0</v>
      </c>
      <c r="DK18" s="207">
        <v>14.0</v>
      </c>
      <c r="DL18" s="159">
        <f t="shared" si="34"/>
        <v>56</v>
      </c>
      <c r="DM18" s="207">
        <v>14.0</v>
      </c>
      <c r="DN18" s="207">
        <v>14.0</v>
      </c>
      <c r="DO18" s="207">
        <v>14.0</v>
      </c>
      <c r="DP18" s="207">
        <v>14.0</v>
      </c>
      <c r="DQ18" s="159">
        <f t="shared" si="35"/>
        <v>56</v>
      </c>
      <c r="DR18" s="207">
        <v>14.0</v>
      </c>
      <c r="DS18" s="207">
        <v>14.0</v>
      </c>
      <c r="DT18" s="207">
        <v>14.0</v>
      </c>
      <c r="DU18" s="207">
        <v>14.0</v>
      </c>
      <c r="DV18" s="158">
        <f t="shared" si="36"/>
        <v>168</v>
      </c>
      <c r="DW18" s="159">
        <f t="shared" si="37"/>
        <v>56</v>
      </c>
      <c r="DX18" s="207">
        <v>14.0</v>
      </c>
      <c r="DY18" s="207">
        <v>14.0</v>
      </c>
      <c r="DZ18" s="207">
        <v>14.0</v>
      </c>
      <c r="EA18" s="207">
        <v>14.0</v>
      </c>
      <c r="EB18" s="159">
        <f t="shared" si="38"/>
        <v>56</v>
      </c>
      <c r="EC18" s="207">
        <v>14.0</v>
      </c>
      <c r="ED18" s="207">
        <v>14.0</v>
      </c>
      <c r="EE18" s="207">
        <v>14.0</v>
      </c>
      <c r="EF18" s="207">
        <v>14.0</v>
      </c>
      <c r="EG18" s="159">
        <f t="shared" si="39"/>
        <v>56</v>
      </c>
      <c r="EH18" s="207">
        <v>14.0</v>
      </c>
      <c r="EI18" s="207">
        <v>14.0</v>
      </c>
      <c r="EJ18" s="207">
        <v>14.0</v>
      </c>
      <c r="EK18" s="207">
        <v>14.0</v>
      </c>
      <c r="EL18" s="156">
        <f t="shared" si="40"/>
        <v>672</v>
      </c>
      <c r="EM18" s="157">
        <f t="shared" si="41"/>
        <v>336</v>
      </c>
      <c r="EN18" s="158">
        <f t="shared" si="42"/>
        <v>168</v>
      </c>
      <c r="EO18" s="159">
        <f t="shared" si="43"/>
        <v>56</v>
      </c>
      <c r="EP18" s="207">
        <v>14.0</v>
      </c>
      <c r="EQ18" s="207">
        <v>14.0</v>
      </c>
      <c r="ER18" s="207">
        <v>14.0</v>
      </c>
      <c r="ES18" s="207">
        <v>14.0</v>
      </c>
      <c r="ET18" s="159">
        <f t="shared" si="44"/>
        <v>56</v>
      </c>
      <c r="EU18" s="207">
        <v>14.0</v>
      </c>
      <c r="EV18" s="207">
        <v>14.0</v>
      </c>
      <c r="EW18" s="207">
        <v>14.0</v>
      </c>
      <c r="EX18" s="207">
        <v>14.0</v>
      </c>
      <c r="EY18" s="159">
        <f t="shared" si="45"/>
        <v>56</v>
      </c>
      <c r="EZ18" s="207">
        <v>14.0</v>
      </c>
      <c r="FA18" s="207">
        <v>14.0</v>
      </c>
      <c r="FB18" s="207">
        <v>14.0</v>
      </c>
      <c r="FC18" s="207">
        <v>14.0</v>
      </c>
      <c r="FD18" s="158">
        <f t="shared" si="46"/>
        <v>168</v>
      </c>
      <c r="FE18" s="159">
        <f t="shared" si="47"/>
        <v>56</v>
      </c>
      <c r="FF18" s="207">
        <v>14.0</v>
      </c>
      <c r="FG18" s="207">
        <v>14.0</v>
      </c>
      <c r="FH18" s="207">
        <v>14.0</v>
      </c>
      <c r="FI18" s="207">
        <v>14.0</v>
      </c>
      <c r="FJ18" s="159">
        <f t="shared" si="48"/>
        <v>56</v>
      </c>
      <c r="FK18" s="207">
        <v>14.0</v>
      </c>
      <c r="FL18" s="207">
        <v>14.0</v>
      </c>
      <c r="FM18" s="207">
        <v>14.0</v>
      </c>
      <c r="FN18" s="207">
        <v>14.0</v>
      </c>
      <c r="FO18" s="159">
        <f t="shared" si="49"/>
        <v>56</v>
      </c>
      <c r="FP18" s="207">
        <v>14.0</v>
      </c>
      <c r="FQ18" s="207">
        <v>14.0</v>
      </c>
      <c r="FR18" s="207">
        <v>14.0</v>
      </c>
      <c r="FS18" s="207">
        <v>14.0</v>
      </c>
      <c r="FT18" s="157">
        <f t="shared" si="50"/>
        <v>336</v>
      </c>
      <c r="FU18" s="158">
        <f t="shared" si="51"/>
        <v>168</v>
      </c>
      <c r="FV18" s="159">
        <f t="shared" si="52"/>
        <v>56</v>
      </c>
      <c r="FW18" s="207">
        <v>14.0</v>
      </c>
      <c r="FX18" s="207">
        <v>14.0</v>
      </c>
      <c r="FY18" s="207">
        <v>14.0</v>
      </c>
      <c r="FZ18" s="207">
        <v>14.0</v>
      </c>
      <c r="GA18" s="159">
        <f t="shared" si="53"/>
        <v>56</v>
      </c>
      <c r="GB18" s="207">
        <v>14.0</v>
      </c>
      <c r="GC18" s="207">
        <v>14.0</v>
      </c>
      <c r="GD18" s="207">
        <v>14.0</v>
      </c>
      <c r="GE18" s="207">
        <v>14.0</v>
      </c>
      <c r="GF18" s="159">
        <f t="shared" si="54"/>
        <v>56</v>
      </c>
      <c r="GG18" s="207">
        <v>14.0</v>
      </c>
      <c r="GH18" s="207">
        <v>14.0</v>
      </c>
      <c r="GI18" s="207">
        <v>14.0</v>
      </c>
      <c r="GJ18" s="207">
        <v>14.0</v>
      </c>
      <c r="GK18" s="158">
        <f t="shared" si="55"/>
        <v>168</v>
      </c>
      <c r="GL18" s="159">
        <f t="shared" si="56"/>
        <v>56</v>
      </c>
      <c r="GM18" s="207">
        <v>14.0</v>
      </c>
      <c r="GN18" s="207">
        <v>14.0</v>
      </c>
      <c r="GO18" s="207">
        <v>14.0</v>
      </c>
      <c r="GP18" s="207">
        <v>14.0</v>
      </c>
      <c r="GQ18" s="159">
        <f t="shared" si="57"/>
        <v>56</v>
      </c>
      <c r="GR18" s="207">
        <v>14.0</v>
      </c>
      <c r="GS18" s="207">
        <v>14.0</v>
      </c>
      <c r="GT18" s="207">
        <v>14.0</v>
      </c>
      <c r="GU18" s="207">
        <v>14.0</v>
      </c>
      <c r="GV18" s="159">
        <f t="shared" si="58"/>
        <v>56</v>
      </c>
      <c r="GW18" s="207">
        <v>14.0</v>
      </c>
      <c r="GX18" s="207">
        <v>14.0</v>
      </c>
      <c r="GY18" s="207">
        <v>14.0</v>
      </c>
      <c r="GZ18" s="207">
        <v>14.0</v>
      </c>
      <c r="HA18" s="15"/>
      <c r="HB18" s="15"/>
    </row>
    <row r="19" ht="15.75" customHeight="1">
      <c r="A19" s="13"/>
      <c r="B19" s="78"/>
      <c r="C19" s="78"/>
      <c r="D19" s="78"/>
      <c r="E19" s="154" t="s">
        <v>26</v>
      </c>
      <c r="F19" s="15"/>
      <c r="G19" s="155">
        <f t="shared" si="1"/>
        <v>1614</v>
      </c>
      <c r="H19" s="156">
        <f t="shared" si="2"/>
        <v>538</v>
      </c>
      <c r="I19" s="157">
        <f t="shared" si="3"/>
        <v>269</v>
      </c>
      <c r="J19" s="158">
        <f t="shared" si="4"/>
        <v>158</v>
      </c>
      <c r="K19" s="159">
        <f t="shared" si="5"/>
        <v>51</v>
      </c>
      <c r="L19" s="193">
        <v>12.0</v>
      </c>
      <c r="M19" s="193">
        <v>14.0</v>
      </c>
      <c r="N19" s="193">
        <v>15.0</v>
      </c>
      <c r="O19" s="193">
        <v>10.0</v>
      </c>
      <c r="P19" s="159">
        <f t="shared" si="6"/>
        <v>56</v>
      </c>
      <c r="Q19" s="193">
        <v>15.0</v>
      </c>
      <c r="R19" s="193">
        <v>15.0</v>
      </c>
      <c r="S19" s="193">
        <v>14.0</v>
      </c>
      <c r="T19" s="193">
        <v>12.0</v>
      </c>
      <c r="U19" s="159">
        <f t="shared" si="7"/>
        <v>51</v>
      </c>
      <c r="V19" s="193">
        <v>12.0</v>
      </c>
      <c r="W19" s="193">
        <v>13.0</v>
      </c>
      <c r="X19" s="193">
        <v>14.0</v>
      </c>
      <c r="Y19" s="193">
        <v>12.0</v>
      </c>
      <c r="Z19" s="158">
        <f t="shared" si="8"/>
        <v>111</v>
      </c>
      <c r="AA19" s="159">
        <f t="shared" si="9"/>
        <v>42</v>
      </c>
      <c r="AB19" s="193">
        <v>10.0</v>
      </c>
      <c r="AC19" s="193">
        <v>11.0</v>
      </c>
      <c r="AD19" s="193">
        <v>12.0</v>
      </c>
      <c r="AE19" s="193">
        <v>9.0</v>
      </c>
      <c r="AF19" s="159">
        <f t="shared" si="10"/>
        <v>30</v>
      </c>
      <c r="AG19" s="193">
        <v>8.0</v>
      </c>
      <c r="AH19" s="193">
        <v>7.0</v>
      </c>
      <c r="AI19" s="193">
        <v>6.0</v>
      </c>
      <c r="AJ19" s="193">
        <v>9.0</v>
      </c>
      <c r="AK19" s="159">
        <f t="shared" si="11"/>
        <v>39</v>
      </c>
      <c r="AL19" s="193">
        <v>10.0</v>
      </c>
      <c r="AM19" s="193">
        <v>9.0</v>
      </c>
      <c r="AN19" s="193">
        <v>8.0</v>
      </c>
      <c r="AO19" s="193">
        <v>12.0</v>
      </c>
      <c r="AP19" s="157">
        <f t="shared" si="12"/>
        <v>269</v>
      </c>
      <c r="AQ19" s="158">
        <f t="shared" si="13"/>
        <v>111</v>
      </c>
      <c r="AR19" s="159">
        <f t="shared" si="14"/>
        <v>39</v>
      </c>
      <c r="AS19" s="193">
        <v>10.0</v>
      </c>
      <c r="AT19" s="193">
        <v>9.0</v>
      </c>
      <c r="AU19" s="193">
        <v>8.0</v>
      </c>
      <c r="AV19" s="193">
        <v>12.0</v>
      </c>
      <c r="AW19" s="159">
        <f t="shared" si="15"/>
        <v>42</v>
      </c>
      <c r="AX19" s="193">
        <v>10.0</v>
      </c>
      <c r="AY19" s="193">
        <v>11.0</v>
      </c>
      <c r="AZ19" s="193">
        <v>12.0</v>
      </c>
      <c r="BA19" s="193">
        <v>9.0</v>
      </c>
      <c r="BB19" s="159">
        <f t="shared" si="16"/>
        <v>30</v>
      </c>
      <c r="BC19" s="193">
        <v>8.0</v>
      </c>
      <c r="BD19" s="193">
        <v>7.0</v>
      </c>
      <c r="BE19" s="193">
        <v>6.0</v>
      </c>
      <c r="BF19" s="193">
        <v>9.0</v>
      </c>
      <c r="BG19" s="158">
        <f t="shared" si="17"/>
        <v>158</v>
      </c>
      <c r="BH19" s="159">
        <f t="shared" si="18"/>
        <v>56</v>
      </c>
      <c r="BI19" s="193">
        <v>15.0</v>
      </c>
      <c r="BJ19" s="193">
        <v>15.0</v>
      </c>
      <c r="BK19" s="193">
        <v>14.0</v>
      </c>
      <c r="BL19" s="193">
        <v>12.0</v>
      </c>
      <c r="BM19" s="159">
        <f t="shared" si="19"/>
        <v>51</v>
      </c>
      <c r="BN19" s="193">
        <v>12.0</v>
      </c>
      <c r="BO19" s="193">
        <v>13.0</v>
      </c>
      <c r="BP19" s="193">
        <v>14.0</v>
      </c>
      <c r="BQ19" s="193">
        <v>12.0</v>
      </c>
      <c r="BR19" s="159">
        <f t="shared" si="20"/>
        <v>51</v>
      </c>
      <c r="BS19" s="193">
        <v>12.0</v>
      </c>
      <c r="BT19" s="193">
        <v>14.0</v>
      </c>
      <c r="BU19" s="193">
        <v>15.0</v>
      </c>
      <c r="BV19" s="193">
        <v>10.0</v>
      </c>
      <c r="BW19" s="156">
        <f t="shared" si="21"/>
        <v>538</v>
      </c>
      <c r="BX19" s="157">
        <f t="shared" si="22"/>
        <v>269</v>
      </c>
      <c r="BY19" s="158">
        <f t="shared" si="23"/>
        <v>111</v>
      </c>
      <c r="BZ19" s="159">
        <f t="shared" si="24"/>
        <v>30</v>
      </c>
      <c r="CA19" s="193">
        <v>8.0</v>
      </c>
      <c r="CB19" s="193">
        <v>7.0</v>
      </c>
      <c r="CC19" s="193">
        <v>6.0</v>
      </c>
      <c r="CD19" s="193">
        <v>9.0</v>
      </c>
      <c r="CE19" s="159">
        <f t="shared" si="25"/>
        <v>39</v>
      </c>
      <c r="CF19" s="193">
        <v>10.0</v>
      </c>
      <c r="CG19" s="193">
        <v>9.0</v>
      </c>
      <c r="CH19" s="193">
        <v>8.0</v>
      </c>
      <c r="CI19" s="193">
        <v>12.0</v>
      </c>
      <c r="CJ19" s="159">
        <f t="shared" si="26"/>
        <v>42</v>
      </c>
      <c r="CK19" s="193">
        <v>10.0</v>
      </c>
      <c r="CL19" s="193">
        <v>11.0</v>
      </c>
      <c r="CM19" s="193">
        <v>12.0</v>
      </c>
      <c r="CN19" s="193">
        <v>9.0</v>
      </c>
      <c r="CO19" s="158">
        <f t="shared" si="27"/>
        <v>158</v>
      </c>
      <c r="CP19" s="159">
        <f t="shared" si="28"/>
        <v>51</v>
      </c>
      <c r="CQ19" s="193">
        <v>12.0</v>
      </c>
      <c r="CR19" s="193">
        <v>14.0</v>
      </c>
      <c r="CS19" s="193">
        <v>15.0</v>
      </c>
      <c r="CT19" s="193">
        <v>10.0</v>
      </c>
      <c r="CU19" s="159">
        <f t="shared" si="29"/>
        <v>56</v>
      </c>
      <c r="CV19" s="193">
        <v>15.0</v>
      </c>
      <c r="CW19" s="193">
        <v>15.0</v>
      </c>
      <c r="CX19" s="193">
        <v>14.0</v>
      </c>
      <c r="CY19" s="193">
        <v>12.0</v>
      </c>
      <c r="CZ19" s="159">
        <f t="shared" si="30"/>
        <v>51</v>
      </c>
      <c r="DA19" s="193">
        <v>12.0</v>
      </c>
      <c r="DB19" s="193">
        <v>13.0</v>
      </c>
      <c r="DC19" s="193">
        <v>14.0</v>
      </c>
      <c r="DD19" s="193">
        <v>12.0</v>
      </c>
      <c r="DE19" s="157">
        <f t="shared" si="31"/>
        <v>269</v>
      </c>
      <c r="DF19" s="158">
        <f t="shared" si="32"/>
        <v>158</v>
      </c>
      <c r="DG19" s="159">
        <f t="shared" si="33"/>
        <v>51</v>
      </c>
      <c r="DH19" s="193">
        <v>12.0</v>
      </c>
      <c r="DI19" s="193">
        <v>13.0</v>
      </c>
      <c r="DJ19" s="193">
        <v>14.0</v>
      </c>
      <c r="DK19" s="193">
        <v>12.0</v>
      </c>
      <c r="DL19" s="159">
        <f t="shared" si="34"/>
        <v>51</v>
      </c>
      <c r="DM19" s="193">
        <v>12.0</v>
      </c>
      <c r="DN19" s="193">
        <v>14.0</v>
      </c>
      <c r="DO19" s="193">
        <v>15.0</v>
      </c>
      <c r="DP19" s="193">
        <v>10.0</v>
      </c>
      <c r="DQ19" s="159">
        <f t="shared" si="35"/>
        <v>56</v>
      </c>
      <c r="DR19" s="193">
        <v>15.0</v>
      </c>
      <c r="DS19" s="193">
        <v>15.0</v>
      </c>
      <c r="DT19" s="193">
        <v>14.0</v>
      </c>
      <c r="DU19" s="193">
        <v>12.0</v>
      </c>
      <c r="DV19" s="158">
        <f t="shared" si="36"/>
        <v>111</v>
      </c>
      <c r="DW19" s="159">
        <f t="shared" si="37"/>
        <v>39</v>
      </c>
      <c r="DX19" s="193">
        <v>10.0</v>
      </c>
      <c r="DY19" s="193">
        <v>9.0</v>
      </c>
      <c r="DZ19" s="193">
        <v>8.0</v>
      </c>
      <c r="EA19" s="193">
        <v>12.0</v>
      </c>
      <c r="EB19" s="159">
        <f t="shared" si="38"/>
        <v>30</v>
      </c>
      <c r="EC19" s="193">
        <v>8.0</v>
      </c>
      <c r="ED19" s="193">
        <v>7.0</v>
      </c>
      <c r="EE19" s="193">
        <v>6.0</v>
      </c>
      <c r="EF19" s="193">
        <v>9.0</v>
      </c>
      <c r="EG19" s="159">
        <f t="shared" si="39"/>
        <v>42</v>
      </c>
      <c r="EH19" s="193">
        <v>10.0</v>
      </c>
      <c r="EI19" s="193">
        <v>11.0</v>
      </c>
      <c r="EJ19" s="193">
        <v>12.0</v>
      </c>
      <c r="EK19" s="193">
        <v>9.0</v>
      </c>
      <c r="EL19" s="156">
        <f t="shared" si="40"/>
        <v>538</v>
      </c>
      <c r="EM19" s="157">
        <f t="shared" si="41"/>
        <v>269</v>
      </c>
      <c r="EN19" s="158">
        <f t="shared" si="42"/>
        <v>111</v>
      </c>
      <c r="EO19" s="159">
        <f t="shared" si="43"/>
        <v>30</v>
      </c>
      <c r="EP19" s="193">
        <v>8.0</v>
      </c>
      <c r="EQ19" s="193">
        <v>7.0</v>
      </c>
      <c r="ER19" s="193">
        <v>6.0</v>
      </c>
      <c r="ES19" s="193">
        <v>9.0</v>
      </c>
      <c r="ET19" s="159">
        <f t="shared" si="44"/>
        <v>42</v>
      </c>
      <c r="EU19" s="193">
        <v>10.0</v>
      </c>
      <c r="EV19" s="193">
        <v>11.0</v>
      </c>
      <c r="EW19" s="193">
        <v>12.0</v>
      </c>
      <c r="EX19" s="193">
        <v>9.0</v>
      </c>
      <c r="EY19" s="159">
        <f t="shared" si="45"/>
        <v>39</v>
      </c>
      <c r="EZ19" s="193">
        <v>10.0</v>
      </c>
      <c r="FA19" s="193">
        <v>9.0</v>
      </c>
      <c r="FB19" s="193">
        <v>8.0</v>
      </c>
      <c r="FC19" s="193">
        <v>12.0</v>
      </c>
      <c r="FD19" s="158">
        <f t="shared" si="46"/>
        <v>158</v>
      </c>
      <c r="FE19" s="159">
        <f t="shared" si="47"/>
        <v>51</v>
      </c>
      <c r="FF19" s="193">
        <v>12.0</v>
      </c>
      <c r="FG19" s="193">
        <v>14.0</v>
      </c>
      <c r="FH19" s="193">
        <v>15.0</v>
      </c>
      <c r="FI19" s="193">
        <v>10.0</v>
      </c>
      <c r="FJ19" s="159">
        <f t="shared" si="48"/>
        <v>56</v>
      </c>
      <c r="FK19" s="193">
        <v>15.0</v>
      </c>
      <c r="FL19" s="193">
        <v>15.0</v>
      </c>
      <c r="FM19" s="193">
        <v>14.0</v>
      </c>
      <c r="FN19" s="193">
        <v>12.0</v>
      </c>
      <c r="FO19" s="159">
        <f t="shared" si="49"/>
        <v>51</v>
      </c>
      <c r="FP19" s="193">
        <v>12.0</v>
      </c>
      <c r="FQ19" s="193">
        <v>13.0</v>
      </c>
      <c r="FR19" s="193">
        <v>14.0</v>
      </c>
      <c r="FS19" s="193">
        <v>12.0</v>
      </c>
      <c r="FT19" s="157">
        <f t="shared" si="50"/>
        <v>269</v>
      </c>
      <c r="FU19" s="158">
        <f t="shared" si="51"/>
        <v>158</v>
      </c>
      <c r="FV19" s="159">
        <f t="shared" si="52"/>
        <v>51</v>
      </c>
      <c r="FW19" s="193">
        <v>12.0</v>
      </c>
      <c r="FX19" s="193">
        <v>13.0</v>
      </c>
      <c r="FY19" s="193">
        <v>14.0</v>
      </c>
      <c r="FZ19" s="193">
        <v>12.0</v>
      </c>
      <c r="GA19" s="159">
        <f t="shared" si="53"/>
        <v>51</v>
      </c>
      <c r="GB19" s="193">
        <v>12.0</v>
      </c>
      <c r="GC19" s="193">
        <v>14.0</v>
      </c>
      <c r="GD19" s="193">
        <v>15.0</v>
      </c>
      <c r="GE19" s="193">
        <v>10.0</v>
      </c>
      <c r="GF19" s="159">
        <f t="shared" si="54"/>
        <v>56</v>
      </c>
      <c r="GG19" s="193">
        <v>15.0</v>
      </c>
      <c r="GH19" s="193">
        <v>15.0</v>
      </c>
      <c r="GI19" s="193">
        <v>14.0</v>
      </c>
      <c r="GJ19" s="193">
        <v>12.0</v>
      </c>
      <c r="GK19" s="158">
        <f t="shared" si="55"/>
        <v>111</v>
      </c>
      <c r="GL19" s="159">
        <f t="shared" si="56"/>
        <v>42</v>
      </c>
      <c r="GM19" s="193">
        <v>10.0</v>
      </c>
      <c r="GN19" s="193">
        <v>11.0</v>
      </c>
      <c r="GO19" s="193">
        <v>12.0</v>
      </c>
      <c r="GP19" s="193">
        <v>9.0</v>
      </c>
      <c r="GQ19" s="159">
        <f t="shared" si="57"/>
        <v>30</v>
      </c>
      <c r="GR19" s="193">
        <v>8.0</v>
      </c>
      <c r="GS19" s="193">
        <v>7.0</v>
      </c>
      <c r="GT19" s="193">
        <v>6.0</v>
      </c>
      <c r="GU19" s="193">
        <v>9.0</v>
      </c>
      <c r="GV19" s="159">
        <f t="shared" si="58"/>
        <v>39</v>
      </c>
      <c r="GW19" s="193">
        <v>10.0</v>
      </c>
      <c r="GX19" s="193">
        <v>9.0</v>
      </c>
      <c r="GY19" s="193">
        <v>8.0</v>
      </c>
      <c r="GZ19" s="193">
        <v>12.0</v>
      </c>
      <c r="HA19" s="15"/>
      <c r="HB19" s="15"/>
    </row>
    <row r="20" ht="15.75" customHeight="1">
      <c r="A20" s="13"/>
      <c r="B20" s="151" t="s">
        <v>54</v>
      </c>
      <c r="C20" s="152">
        <v>1.0</v>
      </c>
      <c r="D20" s="153" t="s">
        <v>55</v>
      </c>
      <c r="E20" s="154" t="s">
        <v>19</v>
      </c>
      <c r="F20" s="15"/>
      <c r="G20" s="155">
        <f t="shared" si="1"/>
        <v>6048</v>
      </c>
      <c r="H20" s="156">
        <f t="shared" si="2"/>
        <v>2016</v>
      </c>
      <c r="I20" s="157">
        <f t="shared" si="3"/>
        <v>1008</v>
      </c>
      <c r="J20" s="158">
        <f t="shared" si="4"/>
        <v>504</v>
      </c>
      <c r="K20" s="159">
        <f t="shared" si="5"/>
        <v>168</v>
      </c>
      <c r="L20" s="160">
        <v>42.0</v>
      </c>
      <c r="M20" s="160">
        <v>42.0</v>
      </c>
      <c r="N20" s="160">
        <v>42.0</v>
      </c>
      <c r="O20" s="160">
        <v>42.0</v>
      </c>
      <c r="P20" s="159">
        <f t="shared" si="6"/>
        <v>168</v>
      </c>
      <c r="Q20" s="160">
        <v>42.0</v>
      </c>
      <c r="R20" s="160">
        <v>42.0</v>
      </c>
      <c r="S20" s="160">
        <v>42.0</v>
      </c>
      <c r="T20" s="160">
        <v>42.0</v>
      </c>
      <c r="U20" s="159">
        <f t="shared" si="7"/>
        <v>168</v>
      </c>
      <c r="V20" s="160">
        <v>42.0</v>
      </c>
      <c r="W20" s="160">
        <v>42.0</v>
      </c>
      <c r="X20" s="160">
        <v>42.0</v>
      </c>
      <c r="Y20" s="160">
        <v>42.0</v>
      </c>
      <c r="Z20" s="158">
        <f t="shared" si="8"/>
        <v>504</v>
      </c>
      <c r="AA20" s="159">
        <f t="shared" si="9"/>
        <v>168</v>
      </c>
      <c r="AB20" s="160">
        <v>42.0</v>
      </c>
      <c r="AC20" s="160">
        <v>42.0</v>
      </c>
      <c r="AD20" s="160">
        <v>42.0</v>
      </c>
      <c r="AE20" s="160">
        <v>42.0</v>
      </c>
      <c r="AF20" s="159">
        <f t="shared" si="10"/>
        <v>168</v>
      </c>
      <c r="AG20" s="160">
        <v>42.0</v>
      </c>
      <c r="AH20" s="160">
        <v>42.0</v>
      </c>
      <c r="AI20" s="160">
        <v>42.0</v>
      </c>
      <c r="AJ20" s="160">
        <v>42.0</v>
      </c>
      <c r="AK20" s="159">
        <f t="shared" si="11"/>
        <v>168</v>
      </c>
      <c r="AL20" s="160">
        <v>42.0</v>
      </c>
      <c r="AM20" s="160">
        <v>42.0</v>
      </c>
      <c r="AN20" s="160">
        <v>42.0</v>
      </c>
      <c r="AO20" s="160">
        <v>42.0</v>
      </c>
      <c r="AP20" s="157">
        <f t="shared" si="12"/>
        <v>1008</v>
      </c>
      <c r="AQ20" s="158">
        <f t="shared" si="13"/>
        <v>504</v>
      </c>
      <c r="AR20" s="159">
        <f t="shared" si="14"/>
        <v>168</v>
      </c>
      <c r="AS20" s="160">
        <v>42.0</v>
      </c>
      <c r="AT20" s="160">
        <v>42.0</v>
      </c>
      <c r="AU20" s="160">
        <v>42.0</v>
      </c>
      <c r="AV20" s="160">
        <v>42.0</v>
      </c>
      <c r="AW20" s="159">
        <f t="shared" si="15"/>
        <v>168</v>
      </c>
      <c r="AX20" s="160">
        <v>42.0</v>
      </c>
      <c r="AY20" s="160">
        <v>42.0</v>
      </c>
      <c r="AZ20" s="160">
        <v>42.0</v>
      </c>
      <c r="BA20" s="160">
        <v>42.0</v>
      </c>
      <c r="BB20" s="159">
        <f t="shared" si="16"/>
        <v>168</v>
      </c>
      <c r="BC20" s="160">
        <v>42.0</v>
      </c>
      <c r="BD20" s="160">
        <v>42.0</v>
      </c>
      <c r="BE20" s="160">
        <v>42.0</v>
      </c>
      <c r="BF20" s="160">
        <v>42.0</v>
      </c>
      <c r="BG20" s="158">
        <f t="shared" si="17"/>
        <v>504</v>
      </c>
      <c r="BH20" s="159">
        <f t="shared" si="18"/>
        <v>168</v>
      </c>
      <c r="BI20" s="160">
        <v>42.0</v>
      </c>
      <c r="BJ20" s="160">
        <v>42.0</v>
      </c>
      <c r="BK20" s="160">
        <v>42.0</v>
      </c>
      <c r="BL20" s="160">
        <v>42.0</v>
      </c>
      <c r="BM20" s="159">
        <f t="shared" si="19"/>
        <v>168</v>
      </c>
      <c r="BN20" s="160">
        <v>42.0</v>
      </c>
      <c r="BO20" s="160">
        <v>42.0</v>
      </c>
      <c r="BP20" s="160">
        <v>42.0</v>
      </c>
      <c r="BQ20" s="160">
        <v>42.0</v>
      </c>
      <c r="BR20" s="159">
        <f t="shared" si="20"/>
        <v>168</v>
      </c>
      <c r="BS20" s="160">
        <v>42.0</v>
      </c>
      <c r="BT20" s="160">
        <v>42.0</v>
      </c>
      <c r="BU20" s="160">
        <v>42.0</v>
      </c>
      <c r="BV20" s="160">
        <v>42.0</v>
      </c>
      <c r="BW20" s="156">
        <f t="shared" si="21"/>
        <v>2016</v>
      </c>
      <c r="BX20" s="157">
        <f t="shared" si="22"/>
        <v>1008</v>
      </c>
      <c r="BY20" s="158">
        <f t="shared" si="23"/>
        <v>504</v>
      </c>
      <c r="BZ20" s="159">
        <f t="shared" si="24"/>
        <v>168</v>
      </c>
      <c r="CA20" s="160">
        <v>42.0</v>
      </c>
      <c r="CB20" s="160">
        <v>42.0</v>
      </c>
      <c r="CC20" s="160">
        <v>42.0</v>
      </c>
      <c r="CD20" s="160">
        <v>42.0</v>
      </c>
      <c r="CE20" s="159">
        <f t="shared" si="25"/>
        <v>168</v>
      </c>
      <c r="CF20" s="160">
        <v>42.0</v>
      </c>
      <c r="CG20" s="160">
        <v>42.0</v>
      </c>
      <c r="CH20" s="160">
        <v>42.0</v>
      </c>
      <c r="CI20" s="160">
        <v>42.0</v>
      </c>
      <c r="CJ20" s="159">
        <f t="shared" si="26"/>
        <v>168</v>
      </c>
      <c r="CK20" s="160">
        <v>42.0</v>
      </c>
      <c r="CL20" s="160">
        <v>42.0</v>
      </c>
      <c r="CM20" s="160">
        <v>42.0</v>
      </c>
      <c r="CN20" s="160">
        <v>42.0</v>
      </c>
      <c r="CO20" s="158">
        <f t="shared" si="27"/>
        <v>504</v>
      </c>
      <c r="CP20" s="159">
        <f t="shared" si="28"/>
        <v>168</v>
      </c>
      <c r="CQ20" s="160">
        <v>42.0</v>
      </c>
      <c r="CR20" s="160">
        <v>42.0</v>
      </c>
      <c r="CS20" s="160">
        <v>42.0</v>
      </c>
      <c r="CT20" s="160">
        <v>42.0</v>
      </c>
      <c r="CU20" s="159">
        <f t="shared" si="29"/>
        <v>168</v>
      </c>
      <c r="CV20" s="160">
        <v>42.0</v>
      </c>
      <c r="CW20" s="160">
        <v>42.0</v>
      </c>
      <c r="CX20" s="160">
        <v>42.0</v>
      </c>
      <c r="CY20" s="160">
        <v>42.0</v>
      </c>
      <c r="CZ20" s="159">
        <f t="shared" si="30"/>
        <v>168</v>
      </c>
      <c r="DA20" s="160">
        <v>42.0</v>
      </c>
      <c r="DB20" s="160">
        <v>42.0</v>
      </c>
      <c r="DC20" s="160">
        <v>42.0</v>
      </c>
      <c r="DD20" s="160">
        <v>42.0</v>
      </c>
      <c r="DE20" s="157">
        <f t="shared" si="31"/>
        <v>1008</v>
      </c>
      <c r="DF20" s="158">
        <f t="shared" si="32"/>
        <v>504</v>
      </c>
      <c r="DG20" s="159">
        <f t="shared" si="33"/>
        <v>168</v>
      </c>
      <c r="DH20" s="160">
        <v>42.0</v>
      </c>
      <c r="DI20" s="160">
        <v>42.0</v>
      </c>
      <c r="DJ20" s="160">
        <v>42.0</v>
      </c>
      <c r="DK20" s="160">
        <v>42.0</v>
      </c>
      <c r="DL20" s="159">
        <f t="shared" si="34"/>
        <v>168</v>
      </c>
      <c r="DM20" s="160">
        <v>42.0</v>
      </c>
      <c r="DN20" s="160">
        <v>42.0</v>
      </c>
      <c r="DO20" s="160">
        <v>42.0</v>
      </c>
      <c r="DP20" s="160">
        <v>42.0</v>
      </c>
      <c r="DQ20" s="159">
        <f t="shared" si="35"/>
        <v>168</v>
      </c>
      <c r="DR20" s="160">
        <v>42.0</v>
      </c>
      <c r="DS20" s="160">
        <v>42.0</v>
      </c>
      <c r="DT20" s="160">
        <v>42.0</v>
      </c>
      <c r="DU20" s="160">
        <v>42.0</v>
      </c>
      <c r="DV20" s="158">
        <f t="shared" si="36"/>
        <v>504</v>
      </c>
      <c r="DW20" s="159">
        <f t="shared" si="37"/>
        <v>168</v>
      </c>
      <c r="DX20" s="160">
        <v>42.0</v>
      </c>
      <c r="DY20" s="160">
        <v>42.0</v>
      </c>
      <c r="DZ20" s="160">
        <v>42.0</v>
      </c>
      <c r="EA20" s="160">
        <v>42.0</v>
      </c>
      <c r="EB20" s="159">
        <f t="shared" si="38"/>
        <v>168</v>
      </c>
      <c r="EC20" s="160">
        <v>42.0</v>
      </c>
      <c r="ED20" s="160">
        <v>42.0</v>
      </c>
      <c r="EE20" s="160">
        <v>42.0</v>
      </c>
      <c r="EF20" s="160">
        <v>42.0</v>
      </c>
      <c r="EG20" s="159">
        <f t="shared" si="39"/>
        <v>168</v>
      </c>
      <c r="EH20" s="160">
        <v>42.0</v>
      </c>
      <c r="EI20" s="160">
        <v>42.0</v>
      </c>
      <c r="EJ20" s="160">
        <v>42.0</v>
      </c>
      <c r="EK20" s="160">
        <v>42.0</v>
      </c>
      <c r="EL20" s="156">
        <f t="shared" si="40"/>
        <v>2016</v>
      </c>
      <c r="EM20" s="157">
        <f t="shared" si="41"/>
        <v>1008</v>
      </c>
      <c r="EN20" s="158">
        <f t="shared" si="42"/>
        <v>504</v>
      </c>
      <c r="EO20" s="159">
        <f t="shared" si="43"/>
        <v>168</v>
      </c>
      <c r="EP20" s="160">
        <v>42.0</v>
      </c>
      <c r="EQ20" s="160">
        <v>42.0</v>
      </c>
      <c r="ER20" s="160">
        <v>42.0</v>
      </c>
      <c r="ES20" s="160">
        <v>42.0</v>
      </c>
      <c r="ET20" s="159">
        <f t="shared" si="44"/>
        <v>168</v>
      </c>
      <c r="EU20" s="160">
        <v>42.0</v>
      </c>
      <c r="EV20" s="160">
        <v>42.0</v>
      </c>
      <c r="EW20" s="160">
        <v>42.0</v>
      </c>
      <c r="EX20" s="160">
        <v>42.0</v>
      </c>
      <c r="EY20" s="159">
        <f t="shared" si="45"/>
        <v>168</v>
      </c>
      <c r="EZ20" s="160">
        <v>42.0</v>
      </c>
      <c r="FA20" s="160">
        <v>42.0</v>
      </c>
      <c r="FB20" s="160">
        <v>42.0</v>
      </c>
      <c r="FC20" s="160">
        <v>42.0</v>
      </c>
      <c r="FD20" s="158">
        <f t="shared" si="46"/>
        <v>504</v>
      </c>
      <c r="FE20" s="159">
        <f t="shared" si="47"/>
        <v>168</v>
      </c>
      <c r="FF20" s="160">
        <v>42.0</v>
      </c>
      <c r="FG20" s="160">
        <v>42.0</v>
      </c>
      <c r="FH20" s="160">
        <v>42.0</v>
      </c>
      <c r="FI20" s="160">
        <v>42.0</v>
      </c>
      <c r="FJ20" s="159">
        <f t="shared" si="48"/>
        <v>168</v>
      </c>
      <c r="FK20" s="160">
        <v>42.0</v>
      </c>
      <c r="FL20" s="160">
        <v>42.0</v>
      </c>
      <c r="FM20" s="160">
        <v>42.0</v>
      </c>
      <c r="FN20" s="160">
        <v>42.0</v>
      </c>
      <c r="FO20" s="159">
        <f t="shared" si="49"/>
        <v>168</v>
      </c>
      <c r="FP20" s="160">
        <v>42.0</v>
      </c>
      <c r="FQ20" s="160">
        <v>42.0</v>
      </c>
      <c r="FR20" s="160">
        <v>42.0</v>
      </c>
      <c r="FS20" s="160">
        <v>42.0</v>
      </c>
      <c r="FT20" s="157">
        <f t="shared" si="50"/>
        <v>1008</v>
      </c>
      <c r="FU20" s="158">
        <f t="shared" si="51"/>
        <v>504</v>
      </c>
      <c r="FV20" s="159">
        <f t="shared" si="52"/>
        <v>168</v>
      </c>
      <c r="FW20" s="160">
        <v>42.0</v>
      </c>
      <c r="FX20" s="160">
        <v>42.0</v>
      </c>
      <c r="FY20" s="160">
        <v>42.0</v>
      </c>
      <c r="FZ20" s="160">
        <v>42.0</v>
      </c>
      <c r="GA20" s="159">
        <f t="shared" si="53"/>
        <v>168</v>
      </c>
      <c r="GB20" s="160">
        <v>42.0</v>
      </c>
      <c r="GC20" s="160">
        <v>42.0</v>
      </c>
      <c r="GD20" s="160">
        <v>42.0</v>
      </c>
      <c r="GE20" s="160">
        <v>42.0</v>
      </c>
      <c r="GF20" s="159">
        <f t="shared" si="54"/>
        <v>168</v>
      </c>
      <c r="GG20" s="160">
        <v>42.0</v>
      </c>
      <c r="GH20" s="160">
        <v>42.0</v>
      </c>
      <c r="GI20" s="160">
        <v>42.0</v>
      </c>
      <c r="GJ20" s="160">
        <v>42.0</v>
      </c>
      <c r="GK20" s="158">
        <f t="shared" si="55"/>
        <v>504</v>
      </c>
      <c r="GL20" s="159">
        <f t="shared" si="56"/>
        <v>168</v>
      </c>
      <c r="GM20" s="160">
        <v>42.0</v>
      </c>
      <c r="GN20" s="160">
        <v>42.0</v>
      </c>
      <c r="GO20" s="160">
        <v>42.0</v>
      </c>
      <c r="GP20" s="160">
        <v>42.0</v>
      </c>
      <c r="GQ20" s="159">
        <f t="shared" si="57"/>
        <v>168</v>
      </c>
      <c r="GR20" s="160">
        <v>42.0</v>
      </c>
      <c r="GS20" s="160">
        <v>42.0</v>
      </c>
      <c r="GT20" s="160">
        <v>42.0</v>
      </c>
      <c r="GU20" s="160">
        <v>42.0</v>
      </c>
      <c r="GV20" s="159">
        <f t="shared" si="58"/>
        <v>168</v>
      </c>
      <c r="GW20" s="160">
        <v>42.0</v>
      </c>
      <c r="GX20" s="160">
        <v>42.0</v>
      </c>
      <c r="GY20" s="160">
        <v>42.0</v>
      </c>
      <c r="GZ20" s="160">
        <v>42.0</v>
      </c>
      <c r="HA20" s="15"/>
      <c r="HB20" s="15"/>
    </row>
    <row r="21" ht="15.75" customHeight="1">
      <c r="A21" s="13"/>
      <c r="B21" s="82"/>
      <c r="C21" s="78"/>
      <c r="D21" s="78"/>
      <c r="E21" s="154" t="s">
        <v>26</v>
      </c>
      <c r="F21" s="15"/>
      <c r="G21" s="155">
        <f t="shared" si="1"/>
        <v>4980</v>
      </c>
      <c r="H21" s="156">
        <f t="shared" si="2"/>
        <v>1660</v>
      </c>
      <c r="I21" s="157">
        <f t="shared" si="3"/>
        <v>830</v>
      </c>
      <c r="J21" s="158">
        <f t="shared" si="4"/>
        <v>439</v>
      </c>
      <c r="K21" s="159">
        <f t="shared" si="5"/>
        <v>141</v>
      </c>
      <c r="L21" s="193">
        <v>35.0</v>
      </c>
      <c r="M21" s="193">
        <v>34.0</v>
      </c>
      <c r="N21" s="193">
        <v>32.0</v>
      </c>
      <c r="O21" s="193">
        <v>40.0</v>
      </c>
      <c r="P21" s="159">
        <f t="shared" si="6"/>
        <v>140</v>
      </c>
      <c r="Q21" s="193">
        <v>32.0</v>
      </c>
      <c r="R21" s="193">
        <v>34.0</v>
      </c>
      <c r="S21" s="193">
        <v>36.0</v>
      </c>
      <c r="T21" s="193">
        <v>38.0</v>
      </c>
      <c r="U21" s="159">
        <f t="shared" si="7"/>
        <v>158</v>
      </c>
      <c r="V21" s="193">
        <v>38.0</v>
      </c>
      <c r="W21" s="193">
        <v>38.0</v>
      </c>
      <c r="X21" s="193">
        <v>40.0</v>
      </c>
      <c r="Y21" s="193">
        <v>42.0</v>
      </c>
      <c r="Z21" s="158">
        <f t="shared" si="8"/>
        <v>391</v>
      </c>
      <c r="AA21" s="159">
        <f t="shared" si="9"/>
        <v>132</v>
      </c>
      <c r="AB21" s="193">
        <v>32.0</v>
      </c>
      <c r="AC21" s="193">
        <v>34.0</v>
      </c>
      <c r="AD21" s="193">
        <v>31.0</v>
      </c>
      <c r="AE21" s="193">
        <v>35.0</v>
      </c>
      <c r="AF21" s="159">
        <f t="shared" si="10"/>
        <v>128</v>
      </c>
      <c r="AG21" s="193">
        <v>30.0</v>
      </c>
      <c r="AH21" s="193">
        <v>31.0</v>
      </c>
      <c r="AI21" s="193">
        <v>33.0</v>
      </c>
      <c r="AJ21" s="193">
        <v>34.0</v>
      </c>
      <c r="AK21" s="159">
        <f t="shared" si="11"/>
        <v>131</v>
      </c>
      <c r="AL21" s="193">
        <v>34.0</v>
      </c>
      <c r="AM21" s="193">
        <v>35.0</v>
      </c>
      <c r="AN21" s="193">
        <v>32.0</v>
      </c>
      <c r="AO21" s="193">
        <v>30.0</v>
      </c>
      <c r="AP21" s="157">
        <f t="shared" si="12"/>
        <v>830</v>
      </c>
      <c r="AQ21" s="158">
        <f t="shared" si="13"/>
        <v>391</v>
      </c>
      <c r="AR21" s="159">
        <f t="shared" si="14"/>
        <v>131</v>
      </c>
      <c r="AS21" s="193">
        <v>34.0</v>
      </c>
      <c r="AT21" s="193">
        <v>35.0</v>
      </c>
      <c r="AU21" s="193">
        <v>32.0</v>
      </c>
      <c r="AV21" s="193">
        <v>30.0</v>
      </c>
      <c r="AW21" s="159">
        <f t="shared" si="15"/>
        <v>132</v>
      </c>
      <c r="AX21" s="193">
        <v>32.0</v>
      </c>
      <c r="AY21" s="193">
        <v>34.0</v>
      </c>
      <c r="AZ21" s="193">
        <v>31.0</v>
      </c>
      <c r="BA21" s="193">
        <v>35.0</v>
      </c>
      <c r="BB21" s="159">
        <f t="shared" si="16"/>
        <v>128</v>
      </c>
      <c r="BC21" s="193">
        <v>30.0</v>
      </c>
      <c r="BD21" s="193">
        <v>31.0</v>
      </c>
      <c r="BE21" s="193">
        <v>33.0</v>
      </c>
      <c r="BF21" s="193">
        <v>34.0</v>
      </c>
      <c r="BG21" s="158">
        <f t="shared" si="17"/>
        <v>439</v>
      </c>
      <c r="BH21" s="159">
        <f t="shared" si="18"/>
        <v>140</v>
      </c>
      <c r="BI21" s="193">
        <v>32.0</v>
      </c>
      <c r="BJ21" s="193">
        <v>34.0</v>
      </c>
      <c r="BK21" s="193">
        <v>36.0</v>
      </c>
      <c r="BL21" s="193">
        <v>38.0</v>
      </c>
      <c r="BM21" s="159">
        <f t="shared" si="19"/>
        <v>158</v>
      </c>
      <c r="BN21" s="193">
        <v>38.0</v>
      </c>
      <c r="BO21" s="193">
        <v>38.0</v>
      </c>
      <c r="BP21" s="193">
        <v>40.0</v>
      </c>
      <c r="BQ21" s="193">
        <v>42.0</v>
      </c>
      <c r="BR21" s="159">
        <f t="shared" si="20"/>
        <v>141</v>
      </c>
      <c r="BS21" s="193">
        <v>35.0</v>
      </c>
      <c r="BT21" s="193">
        <v>34.0</v>
      </c>
      <c r="BU21" s="193">
        <v>32.0</v>
      </c>
      <c r="BV21" s="193">
        <v>40.0</v>
      </c>
      <c r="BW21" s="156">
        <f t="shared" si="21"/>
        <v>1660</v>
      </c>
      <c r="BX21" s="157">
        <f t="shared" si="22"/>
        <v>830</v>
      </c>
      <c r="BY21" s="158">
        <f t="shared" si="23"/>
        <v>391</v>
      </c>
      <c r="BZ21" s="159">
        <f t="shared" si="24"/>
        <v>128</v>
      </c>
      <c r="CA21" s="193">
        <v>30.0</v>
      </c>
      <c r="CB21" s="193">
        <v>31.0</v>
      </c>
      <c r="CC21" s="193">
        <v>33.0</v>
      </c>
      <c r="CD21" s="193">
        <v>34.0</v>
      </c>
      <c r="CE21" s="159">
        <f t="shared" si="25"/>
        <v>131</v>
      </c>
      <c r="CF21" s="193">
        <v>34.0</v>
      </c>
      <c r="CG21" s="193">
        <v>35.0</v>
      </c>
      <c r="CH21" s="193">
        <v>32.0</v>
      </c>
      <c r="CI21" s="193">
        <v>30.0</v>
      </c>
      <c r="CJ21" s="159">
        <f t="shared" si="26"/>
        <v>132</v>
      </c>
      <c r="CK21" s="193">
        <v>32.0</v>
      </c>
      <c r="CL21" s="193">
        <v>34.0</v>
      </c>
      <c r="CM21" s="193">
        <v>31.0</v>
      </c>
      <c r="CN21" s="193">
        <v>35.0</v>
      </c>
      <c r="CO21" s="158">
        <f t="shared" si="27"/>
        <v>439</v>
      </c>
      <c r="CP21" s="159">
        <f t="shared" si="28"/>
        <v>141</v>
      </c>
      <c r="CQ21" s="193">
        <v>35.0</v>
      </c>
      <c r="CR21" s="193">
        <v>34.0</v>
      </c>
      <c r="CS21" s="193">
        <v>32.0</v>
      </c>
      <c r="CT21" s="193">
        <v>40.0</v>
      </c>
      <c r="CU21" s="159">
        <f t="shared" si="29"/>
        <v>140</v>
      </c>
      <c r="CV21" s="193">
        <v>32.0</v>
      </c>
      <c r="CW21" s="193">
        <v>34.0</v>
      </c>
      <c r="CX21" s="193">
        <v>36.0</v>
      </c>
      <c r="CY21" s="193">
        <v>38.0</v>
      </c>
      <c r="CZ21" s="159">
        <f t="shared" si="30"/>
        <v>158</v>
      </c>
      <c r="DA21" s="193">
        <v>38.0</v>
      </c>
      <c r="DB21" s="193">
        <v>38.0</v>
      </c>
      <c r="DC21" s="193">
        <v>40.0</v>
      </c>
      <c r="DD21" s="193">
        <v>42.0</v>
      </c>
      <c r="DE21" s="157">
        <f t="shared" si="31"/>
        <v>830</v>
      </c>
      <c r="DF21" s="158">
        <f t="shared" si="32"/>
        <v>439</v>
      </c>
      <c r="DG21" s="159">
        <f t="shared" si="33"/>
        <v>158</v>
      </c>
      <c r="DH21" s="193">
        <v>38.0</v>
      </c>
      <c r="DI21" s="193">
        <v>38.0</v>
      </c>
      <c r="DJ21" s="193">
        <v>40.0</v>
      </c>
      <c r="DK21" s="193">
        <v>42.0</v>
      </c>
      <c r="DL21" s="159">
        <f t="shared" si="34"/>
        <v>141</v>
      </c>
      <c r="DM21" s="193">
        <v>35.0</v>
      </c>
      <c r="DN21" s="193">
        <v>34.0</v>
      </c>
      <c r="DO21" s="193">
        <v>32.0</v>
      </c>
      <c r="DP21" s="193">
        <v>40.0</v>
      </c>
      <c r="DQ21" s="159">
        <f t="shared" si="35"/>
        <v>140</v>
      </c>
      <c r="DR21" s="193">
        <v>32.0</v>
      </c>
      <c r="DS21" s="193">
        <v>34.0</v>
      </c>
      <c r="DT21" s="193">
        <v>36.0</v>
      </c>
      <c r="DU21" s="193">
        <v>38.0</v>
      </c>
      <c r="DV21" s="158">
        <f t="shared" si="36"/>
        <v>391</v>
      </c>
      <c r="DW21" s="159">
        <f t="shared" si="37"/>
        <v>131</v>
      </c>
      <c r="DX21" s="193">
        <v>34.0</v>
      </c>
      <c r="DY21" s="193">
        <v>35.0</v>
      </c>
      <c r="DZ21" s="193">
        <v>32.0</v>
      </c>
      <c r="EA21" s="193">
        <v>30.0</v>
      </c>
      <c r="EB21" s="159">
        <f t="shared" si="38"/>
        <v>128</v>
      </c>
      <c r="EC21" s="193">
        <v>30.0</v>
      </c>
      <c r="ED21" s="193">
        <v>31.0</v>
      </c>
      <c r="EE21" s="193">
        <v>33.0</v>
      </c>
      <c r="EF21" s="193">
        <v>34.0</v>
      </c>
      <c r="EG21" s="159">
        <f t="shared" si="39"/>
        <v>132</v>
      </c>
      <c r="EH21" s="193">
        <v>32.0</v>
      </c>
      <c r="EI21" s="193">
        <v>34.0</v>
      </c>
      <c r="EJ21" s="193">
        <v>31.0</v>
      </c>
      <c r="EK21" s="193">
        <v>35.0</v>
      </c>
      <c r="EL21" s="156">
        <f t="shared" si="40"/>
        <v>1660</v>
      </c>
      <c r="EM21" s="157">
        <f t="shared" si="41"/>
        <v>830</v>
      </c>
      <c r="EN21" s="158">
        <f t="shared" si="42"/>
        <v>391</v>
      </c>
      <c r="EO21" s="159">
        <f t="shared" si="43"/>
        <v>128</v>
      </c>
      <c r="EP21" s="193">
        <v>30.0</v>
      </c>
      <c r="EQ21" s="193">
        <v>31.0</v>
      </c>
      <c r="ER21" s="193">
        <v>33.0</v>
      </c>
      <c r="ES21" s="193">
        <v>34.0</v>
      </c>
      <c r="ET21" s="159">
        <f t="shared" si="44"/>
        <v>132</v>
      </c>
      <c r="EU21" s="193">
        <v>32.0</v>
      </c>
      <c r="EV21" s="193">
        <v>34.0</v>
      </c>
      <c r="EW21" s="193">
        <v>31.0</v>
      </c>
      <c r="EX21" s="193">
        <v>35.0</v>
      </c>
      <c r="EY21" s="159">
        <f t="shared" si="45"/>
        <v>131</v>
      </c>
      <c r="EZ21" s="193">
        <v>34.0</v>
      </c>
      <c r="FA21" s="193">
        <v>35.0</v>
      </c>
      <c r="FB21" s="193">
        <v>32.0</v>
      </c>
      <c r="FC21" s="193">
        <v>30.0</v>
      </c>
      <c r="FD21" s="158">
        <f t="shared" si="46"/>
        <v>439</v>
      </c>
      <c r="FE21" s="159">
        <f t="shared" si="47"/>
        <v>141</v>
      </c>
      <c r="FF21" s="193">
        <v>35.0</v>
      </c>
      <c r="FG21" s="193">
        <v>34.0</v>
      </c>
      <c r="FH21" s="193">
        <v>32.0</v>
      </c>
      <c r="FI21" s="193">
        <v>40.0</v>
      </c>
      <c r="FJ21" s="159">
        <f t="shared" si="48"/>
        <v>140</v>
      </c>
      <c r="FK21" s="193">
        <v>32.0</v>
      </c>
      <c r="FL21" s="193">
        <v>34.0</v>
      </c>
      <c r="FM21" s="193">
        <v>36.0</v>
      </c>
      <c r="FN21" s="193">
        <v>38.0</v>
      </c>
      <c r="FO21" s="159">
        <f t="shared" si="49"/>
        <v>158</v>
      </c>
      <c r="FP21" s="193">
        <v>38.0</v>
      </c>
      <c r="FQ21" s="193">
        <v>38.0</v>
      </c>
      <c r="FR21" s="193">
        <v>40.0</v>
      </c>
      <c r="FS21" s="193">
        <v>42.0</v>
      </c>
      <c r="FT21" s="157">
        <f t="shared" si="50"/>
        <v>830</v>
      </c>
      <c r="FU21" s="158">
        <f t="shared" si="51"/>
        <v>439</v>
      </c>
      <c r="FV21" s="159">
        <f t="shared" si="52"/>
        <v>158</v>
      </c>
      <c r="FW21" s="193">
        <v>38.0</v>
      </c>
      <c r="FX21" s="193">
        <v>38.0</v>
      </c>
      <c r="FY21" s="193">
        <v>40.0</v>
      </c>
      <c r="FZ21" s="193">
        <v>42.0</v>
      </c>
      <c r="GA21" s="159">
        <f t="shared" si="53"/>
        <v>141</v>
      </c>
      <c r="GB21" s="193">
        <v>35.0</v>
      </c>
      <c r="GC21" s="193">
        <v>34.0</v>
      </c>
      <c r="GD21" s="193">
        <v>32.0</v>
      </c>
      <c r="GE21" s="193">
        <v>40.0</v>
      </c>
      <c r="GF21" s="159">
        <f t="shared" si="54"/>
        <v>140</v>
      </c>
      <c r="GG21" s="193">
        <v>32.0</v>
      </c>
      <c r="GH21" s="193">
        <v>34.0</v>
      </c>
      <c r="GI21" s="193">
        <v>36.0</v>
      </c>
      <c r="GJ21" s="193">
        <v>38.0</v>
      </c>
      <c r="GK21" s="158">
        <f t="shared" si="55"/>
        <v>391</v>
      </c>
      <c r="GL21" s="159">
        <f t="shared" si="56"/>
        <v>132</v>
      </c>
      <c r="GM21" s="193">
        <v>32.0</v>
      </c>
      <c r="GN21" s="193">
        <v>34.0</v>
      </c>
      <c r="GO21" s="193">
        <v>31.0</v>
      </c>
      <c r="GP21" s="193">
        <v>35.0</v>
      </c>
      <c r="GQ21" s="159">
        <f t="shared" si="57"/>
        <v>128</v>
      </c>
      <c r="GR21" s="193">
        <v>30.0</v>
      </c>
      <c r="GS21" s="193">
        <v>31.0</v>
      </c>
      <c r="GT21" s="193">
        <v>33.0</v>
      </c>
      <c r="GU21" s="193">
        <v>34.0</v>
      </c>
      <c r="GV21" s="159">
        <f t="shared" si="58"/>
        <v>131</v>
      </c>
      <c r="GW21" s="193">
        <v>34.0</v>
      </c>
      <c r="GX21" s="193">
        <v>35.0</v>
      </c>
      <c r="GY21" s="193">
        <v>32.0</v>
      </c>
      <c r="GZ21" s="193">
        <v>30.0</v>
      </c>
      <c r="HA21" s="15"/>
      <c r="HB21" s="15"/>
    </row>
    <row r="22" ht="15.75" customHeight="1">
      <c r="A22" s="13"/>
      <c r="B22" s="82"/>
      <c r="C22" s="152">
        <v>2.0</v>
      </c>
      <c r="D22" s="237" t="s">
        <v>60</v>
      </c>
      <c r="E22" s="154" t="s">
        <v>19</v>
      </c>
      <c r="F22" s="15"/>
      <c r="G22" s="155">
        <f t="shared" si="1"/>
        <v>4032</v>
      </c>
      <c r="H22" s="156">
        <f t="shared" si="2"/>
        <v>1344</v>
      </c>
      <c r="I22" s="157">
        <f t="shared" si="3"/>
        <v>672</v>
      </c>
      <c r="J22" s="158">
        <f t="shared" si="4"/>
        <v>336</v>
      </c>
      <c r="K22" s="159">
        <f t="shared" si="5"/>
        <v>112</v>
      </c>
      <c r="L22" s="160">
        <v>28.0</v>
      </c>
      <c r="M22" s="160">
        <v>28.0</v>
      </c>
      <c r="N22" s="160">
        <v>28.0</v>
      </c>
      <c r="O22" s="160">
        <v>28.0</v>
      </c>
      <c r="P22" s="159">
        <f t="shared" si="6"/>
        <v>112</v>
      </c>
      <c r="Q22" s="160">
        <v>28.0</v>
      </c>
      <c r="R22" s="160">
        <v>28.0</v>
      </c>
      <c r="S22" s="160">
        <v>28.0</v>
      </c>
      <c r="T22" s="160">
        <v>28.0</v>
      </c>
      <c r="U22" s="159">
        <f t="shared" si="7"/>
        <v>112</v>
      </c>
      <c r="V22" s="160">
        <v>28.0</v>
      </c>
      <c r="W22" s="160">
        <v>28.0</v>
      </c>
      <c r="X22" s="160">
        <v>28.0</v>
      </c>
      <c r="Y22" s="160">
        <v>28.0</v>
      </c>
      <c r="Z22" s="158">
        <f t="shared" si="8"/>
        <v>336</v>
      </c>
      <c r="AA22" s="159">
        <f t="shared" si="9"/>
        <v>112</v>
      </c>
      <c r="AB22" s="160">
        <v>28.0</v>
      </c>
      <c r="AC22" s="160">
        <v>28.0</v>
      </c>
      <c r="AD22" s="160">
        <v>28.0</v>
      </c>
      <c r="AE22" s="160">
        <v>28.0</v>
      </c>
      <c r="AF22" s="159">
        <f t="shared" si="10"/>
        <v>112</v>
      </c>
      <c r="AG22" s="160">
        <v>28.0</v>
      </c>
      <c r="AH22" s="160">
        <v>28.0</v>
      </c>
      <c r="AI22" s="160">
        <v>28.0</v>
      </c>
      <c r="AJ22" s="160">
        <v>28.0</v>
      </c>
      <c r="AK22" s="159">
        <f t="shared" si="11"/>
        <v>112</v>
      </c>
      <c r="AL22" s="160">
        <v>28.0</v>
      </c>
      <c r="AM22" s="160">
        <v>28.0</v>
      </c>
      <c r="AN22" s="160">
        <v>28.0</v>
      </c>
      <c r="AO22" s="160">
        <v>28.0</v>
      </c>
      <c r="AP22" s="157">
        <f t="shared" si="12"/>
        <v>672</v>
      </c>
      <c r="AQ22" s="158">
        <f t="shared" si="13"/>
        <v>336</v>
      </c>
      <c r="AR22" s="159">
        <f t="shared" si="14"/>
        <v>112</v>
      </c>
      <c r="AS22" s="160">
        <v>28.0</v>
      </c>
      <c r="AT22" s="160">
        <v>28.0</v>
      </c>
      <c r="AU22" s="160">
        <v>28.0</v>
      </c>
      <c r="AV22" s="160">
        <v>28.0</v>
      </c>
      <c r="AW22" s="159">
        <f t="shared" si="15"/>
        <v>112</v>
      </c>
      <c r="AX22" s="160">
        <v>28.0</v>
      </c>
      <c r="AY22" s="160">
        <v>28.0</v>
      </c>
      <c r="AZ22" s="160">
        <v>28.0</v>
      </c>
      <c r="BA22" s="160">
        <v>28.0</v>
      </c>
      <c r="BB22" s="159">
        <f t="shared" si="16"/>
        <v>112</v>
      </c>
      <c r="BC22" s="160">
        <v>28.0</v>
      </c>
      <c r="BD22" s="160">
        <v>28.0</v>
      </c>
      <c r="BE22" s="160">
        <v>28.0</v>
      </c>
      <c r="BF22" s="160">
        <v>28.0</v>
      </c>
      <c r="BG22" s="158">
        <f t="shared" si="17"/>
        <v>336</v>
      </c>
      <c r="BH22" s="159">
        <f t="shared" si="18"/>
        <v>112</v>
      </c>
      <c r="BI22" s="160">
        <v>28.0</v>
      </c>
      <c r="BJ22" s="160">
        <v>28.0</v>
      </c>
      <c r="BK22" s="160">
        <v>28.0</v>
      </c>
      <c r="BL22" s="160">
        <v>28.0</v>
      </c>
      <c r="BM22" s="159">
        <f t="shared" si="19"/>
        <v>112</v>
      </c>
      <c r="BN22" s="160">
        <v>28.0</v>
      </c>
      <c r="BO22" s="160">
        <v>28.0</v>
      </c>
      <c r="BP22" s="160">
        <v>28.0</v>
      </c>
      <c r="BQ22" s="160">
        <v>28.0</v>
      </c>
      <c r="BR22" s="159">
        <f t="shared" si="20"/>
        <v>112</v>
      </c>
      <c r="BS22" s="160">
        <v>28.0</v>
      </c>
      <c r="BT22" s="160">
        <v>28.0</v>
      </c>
      <c r="BU22" s="160">
        <v>28.0</v>
      </c>
      <c r="BV22" s="160">
        <v>28.0</v>
      </c>
      <c r="BW22" s="156">
        <f t="shared" si="21"/>
        <v>1344</v>
      </c>
      <c r="BX22" s="157">
        <f t="shared" si="22"/>
        <v>672</v>
      </c>
      <c r="BY22" s="158">
        <f t="shared" si="23"/>
        <v>336</v>
      </c>
      <c r="BZ22" s="159">
        <f t="shared" si="24"/>
        <v>112</v>
      </c>
      <c r="CA22" s="160">
        <v>28.0</v>
      </c>
      <c r="CB22" s="160">
        <v>28.0</v>
      </c>
      <c r="CC22" s="160">
        <v>28.0</v>
      </c>
      <c r="CD22" s="160">
        <v>28.0</v>
      </c>
      <c r="CE22" s="159">
        <f t="shared" si="25"/>
        <v>112</v>
      </c>
      <c r="CF22" s="160">
        <v>28.0</v>
      </c>
      <c r="CG22" s="160">
        <v>28.0</v>
      </c>
      <c r="CH22" s="160">
        <v>28.0</v>
      </c>
      <c r="CI22" s="160">
        <v>28.0</v>
      </c>
      <c r="CJ22" s="159">
        <f t="shared" si="26"/>
        <v>112</v>
      </c>
      <c r="CK22" s="160">
        <v>28.0</v>
      </c>
      <c r="CL22" s="160">
        <v>28.0</v>
      </c>
      <c r="CM22" s="160">
        <v>28.0</v>
      </c>
      <c r="CN22" s="160">
        <v>28.0</v>
      </c>
      <c r="CO22" s="158">
        <f t="shared" si="27"/>
        <v>336</v>
      </c>
      <c r="CP22" s="159">
        <f t="shared" si="28"/>
        <v>112</v>
      </c>
      <c r="CQ22" s="160">
        <v>28.0</v>
      </c>
      <c r="CR22" s="160">
        <v>28.0</v>
      </c>
      <c r="CS22" s="160">
        <v>28.0</v>
      </c>
      <c r="CT22" s="160">
        <v>28.0</v>
      </c>
      <c r="CU22" s="159">
        <f t="shared" si="29"/>
        <v>112</v>
      </c>
      <c r="CV22" s="160">
        <v>28.0</v>
      </c>
      <c r="CW22" s="160">
        <v>28.0</v>
      </c>
      <c r="CX22" s="160">
        <v>28.0</v>
      </c>
      <c r="CY22" s="160">
        <v>28.0</v>
      </c>
      <c r="CZ22" s="159">
        <f t="shared" si="30"/>
        <v>112</v>
      </c>
      <c r="DA22" s="160">
        <v>28.0</v>
      </c>
      <c r="DB22" s="160">
        <v>28.0</v>
      </c>
      <c r="DC22" s="160">
        <v>28.0</v>
      </c>
      <c r="DD22" s="160">
        <v>28.0</v>
      </c>
      <c r="DE22" s="157">
        <f t="shared" si="31"/>
        <v>672</v>
      </c>
      <c r="DF22" s="158">
        <f t="shared" si="32"/>
        <v>336</v>
      </c>
      <c r="DG22" s="159">
        <f t="shared" si="33"/>
        <v>112</v>
      </c>
      <c r="DH22" s="160">
        <v>28.0</v>
      </c>
      <c r="DI22" s="160">
        <v>28.0</v>
      </c>
      <c r="DJ22" s="160">
        <v>28.0</v>
      </c>
      <c r="DK22" s="160">
        <v>28.0</v>
      </c>
      <c r="DL22" s="159">
        <f t="shared" si="34"/>
        <v>112</v>
      </c>
      <c r="DM22" s="160">
        <v>28.0</v>
      </c>
      <c r="DN22" s="160">
        <v>28.0</v>
      </c>
      <c r="DO22" s="160">
        <v>28.0</v>
      </c>
      <c r="DP22" s="160">
        <v>28.0</v>
      </c>
      <c r="DQ22" s="159">
        <f t="shared" si="35"/>
        <v>112</v>
      </c>
      <c r="DR22" s="160">
        <v>28.0</v>
      </c>
      <c r="DS22" s="160">
        <v>28.0</v>
      </c>
      <c r="DT22" s="160">
        <v>28.0</v>
      </c>
      <c r="DU22" s="160">
        <v>28.0</v>
      </c>
      <c r="DV22" s="158">
        <f t="shared" si="36"/>
        <v>336</v>
      </c>
      <c r="DW22" s="159">
        <f t="shared" si="37"/>
        <v>112</v>
      </c>
      <c r="DX22" s="160">
        <v>28.0</v>
      </c>
      <c r="DY22" s="160">
        <v>28.0</v>
      </c>
      <c r="DZ22" s="160">
        <v>28.0</v>
      </c>
      <c r="EA22" s="160">
        <v>28.0</v>
      </c>
      <c r="EB22" s="159">
        <f t="shared" si="38"/>
        <v>112</v>
      </c>
      <c r="EC22" s="160">
        <v>28.0</v>
      </c>
      <c r="ED22" s="160">
        <v>28.0</v>
      </c>
      <c r="EE22" s="160">
        <v>28.0</v>
      </c>
      <c r="EF22" s="160">
        <v>28.0</v>
      </c>
      <c r="EG22" s="159">
        <f t="shared" si="39"/>
        <v>112</v>
      </c>
      <c r="EH22" s="160">
        <v>28.0</v>
      </c>
      <c r="EI22" s="160">
        <v>28.0</v>
      </c>
      <c r="EJ22" s="160">
        <v>28.0</v>
      </c>
      <c r="EK22" s="160">
        <v>28.0</v>
      </c>
      <c r="EL22" s="156">
        <f t="shared" si="40"/>
        <v>1344</v>
      </c>
      <c r="EM22" s="157">
        <f t="shared" si="41"/>
        <v>672</v>
      </c>
      <c r="EN22" s="158">
        <f t="shared" si="42"/>
        <v>336</v>
      </c>
      <c r="EO22" s="159">
        <f t="shared" si="43"/>
        <v>112</v>
      </c>
      <c r="EP22" s="160">
        <v>28.0</v>
      </c>
      <c r="EQ22" s="160">
        <v>28.0</v>
      </c>
      <c r="ER22" s="160">
        <v>28.0</v>
      </c>
      <c r="ES22" s="160">
        <v>28.0</v>
      </c>
      <c r="ET22" s="159">
        <f t="shared" si="44"/>
        <v>112</v>
      </c>
      <c r="EU22" s="160">
        <v>28.0</v>
      </c>
      <c r="EV22" s="160">
        <v>28.0</v>
      </c>
      <c r="EW22" s="160">
        <v>28.0</v>
      </c>
      <c r="EX22" s="160">
        <v>28.0</v>
      </c>
      <c r="EY22" s="159">
        <f t="shared" si="45"/>
        <v>112</v>
      </c>
      <c r="EZ22" s="160">
        <v>28.0</v>
      </c>
      <c r="FA22" s="160">
        <v>28.0</v>
      </c>
      <c r="FB22" s="160">
        <v>28.0</v>
      </c>
      <c r="FC22" s="160">
        <v>28.0</v>
      </c>
      <c r="FD22" s="158">
        <f t="shared" si="46"/>
        <v>336</v>
      </c>
      <c r="FE22" s="159">
        <f t="shared" si="47"/>
        <v>112</v>
      </c>
      <c r="FF22" s="160">
        <v>28.0</v>
      </c>
      <c r="FG22" s="160">
        <v>28.0</v>
      </c>
      <c r="FH22" s="160">
        <v>28.0</v>
      </c>
      <c r="FI22" s="160">
        <v>28.0</v>
      </c>
      <c r="FJ22" s="159">
        <f t="shared" si="48"/>
        <v>112</v>
      </c>
      <c r="FK22" s="160">
        <v>28.0</v>
      </c>
      <c r="FL22" s="160">
        <v>28.0</v>
      </c>
      <c r="FM22" s="160">
        <v>28.0</v>
      </c>
      <c r="FN22" s="160">
        <v>28.0</v>
      </c>
      <c r="FO22" s="159">
        <f t="shared" si="49"/>
        <v>112</v>
      </c>
      <c r="FP22" s="160">
        <v>28.0</v>
      </c>
      <c r="FQ22" s="160">
        <v>28.0</v>
      </c>
      <c r="FR22" s="160">
        <v>28.0</v>
      </c>
      <c r="FS22" s="160">
        <v>28.0</v>
      </c>
      <c r="FT22" s="157">
        <f t="shared" si="50"/>
        <v>672</v>
      </c>
      <c r="FU22" s="158">
        <f t="shared" si="51"/>
        <v>336</v>
      </c>
      <c r="FV22" s="159">
        <f t="shared" si="52"/>
        <v>112</v>
      </c>
      <c r="FW22" s="160">
        <v>28.0</v>
      </c>
      <c r="FX22" s="160">
        <v>28.0</v>
      </c>
      <c r="FY22" s="160">
        <v>28.0</v>
      </c>
      <c r="FZ22" s="160">
        <v>28.0</v>
      </c>
      <c r="GA22" s="159">
        <f t="shared" si="53"/>
        <v>112</v>
      </c>
      <c r="GB22" s="160">
        <v>28.0</v>
      </c>
      <c r="GC22" s="160">
        <v>28.0</v>
      </c>
      <c r="GD22" s="160">
        <v>28.0</v>
      </c>
      <c r="GE22" s="160">
        <v>28.0</v>
      </c>
      <c r="GF22" s="159">
        <f t="shared" si="54"/>
        <v>112</v>
      </c>
      <c r="GG22" s="160">
        <v>28.0</v>
      </c>
      <c r="GH22" s="160">
        <v>28.0</v>
      </c>
      <c r="GI22" s="160">
        <v>28.0</v>
      </c>
      <c r="GJ22" s="160">
        <v>28.0</v>
      </c>
      <c r="GK22" s="158">
        <f t="shared" si="55"/>
        <v>336</v>
      </c>
      <c r="GL22" s="159">
        <f t="shared" si="56"/>
        <v>112</v>
      </c>
      <c r="GM22" s="160">
        <v>28.0</v>
      </c>
      <c r="GN22" s="160">
        <v>28.0</v>
      </c>
      <c r="GO22" s="160">
        <v>28.0</v>
      </c>
      <c r="GP22" s="160">
        <v>28.0</v>
      </c>
      <c r="GQ22" s="159">
        <f t="shared" si="57"/>
        <v>112</v>
      </c>
      <c r="GR22" s="160">
        <v>28.0</v>
      </c>
      <c r="GS22" s="160">
        <v>28.0</v>
      </c>
      <c r="GT22" s="160">
        <v>28.0</v>
      </c>
      <c r="GU22" s="160">
        <v>28.0</v>
      </c>
      <c r="GV22" s="159">
        <f t="shared" si="58"/>
        <v>112</v>
      </c>
      <c r="GW22" s="160">
        <v>28.0</v>
      </c>
      <c r="GX22" s="160">
        <v>28.0</v>
      </c>
      <c r="GY22" s="160">
        <v>28.0</v>
      </c>
      <c r="GZ22" s="160">
        <v>28.0</v>
      </c>
      <c r="HA22" s="15"/>
      <c r="HB22" s="15"/>
    </row>
    <row r="23" ht="15.75" customHeight="1">
      <c r="A23" s="13"/>
      <c r="B23" s="82"/>
      <c r="C23" s="78"/>
      <c r="D23" s="78"/>
      <c r="E23" s="154" t="s">
        <v>26</v>
      </c>
      <c r="F23" s="15"/>
      <c r="G23" s="155">
        <f t="shared" si="1"/>
        <v>3318</v>
      </c>
      <c r="H23" s="156">
        <f t="shared" si="2"/>
        <v>1106</v>
      </c>
      <c r="I23" s="157">
        <f t="shared" si="3"/>
        <v>553</v>
      </c>
      <c r="J23" s="158">
        <f t="shared" si="4"/>
        <v>308</v>
      </c>
      <c r="K23" s="159">
        <f t="shared" si="5"/>
        <v>97</v>
      </c>
      <c r="L23" s="193">
        <v>22.0</v>
      </c>
      <c r="M23" s="193">
        <v>24.0</v>
      </c>
      <c r="N23" s="193">
        <v>25.0</v>
      </c>
      <c r="O23" s="193">
        <v>26.0</v>
      </c>
      <c r="P23" s="159">
        <f t="shared" si="6"/>
        <v>105</v>
      </c>
      <c r="Q23" s="193">
        <v>24.0</v>
      </c>
      <c r="R23" s="193">
        <v>26.0</v>
      </c>
      <c r="S23" s="193">
        <v>27.0</v>
      </c>
      <c r="T23" s="193">
        <v>28.0</v>
      </c>
      <c r="U23" s="159">
        <f t="shared" si="7"/>
        <v>106</v>
      </c>
      <c r="V23" s="193">
        <v>28.0</v>
      </c>
      <c r="W23" s="193">
        <v>27.0</v>
      </c>
      <c r="X23" s="193">
        <v>25.0</v>
      </c>
      <c r="Y23" s="193">
        <v>26.0</v>
      </c>
      <c r="Z23" s="158">
        <f t="shared" si="8"/>
        <v>245</v>
      </c>
      <c r="AA23" s="159">
        <f t="shared" si="9"/>
        <v>84</v>
      </c>
      <c r="AB23" s="193">
        <v>18.0</v>
      </c>
      <c r="AC23" s="193">
        <v>20.0</v>
      </c>
      <c r="AD23" s="193">
        <v>21.0</v>
      </c>
      <c r="AE23" s="193">
        <v>25.0</v>
      </c>
      <c r="AF23" s="159">
        <f t="shared" si="10"/>
        <v>75</v>
      </c>
      <c r="AG23" s="193">
        <v>20.0</v>
      </c>
      <c r="AH23" s="193">
        <v>18.0</v>
      </c>
      <c r="AI23" s="193">
        <v>17.0</v>
      </c>
      <c r="AJ23" s="193">
        <v>20.0</v>
      </c>
      <c r="AK23" s="159">
        <f t="shared" si="11"/>
        <v>86</v>
      </c>
      <c r="AL23" s="193">
        <v>21.0</v>
      </c>
      <c r="AM23" s="193">
        <v>23.0</v>
      </c>
      <c r="AN23" s="193">
        <v>22.0</v>
      </c>
      <c r="AO23" s="193">
        <v>20.0</v>
      </c>
      <c r="AP23" s="157">
        <f t="shared" si="12"/>
        <v>553</v>
      </c>
      <c r="AQ23" s="158">
        <f t="shared" si="13"/>
        <v>245</v>
      </c>
      <c r="AR23" s="159">
        <f t="shared" si="14"/>
        <v>86</v>
      </c>
      <c r="AS23" s="193">
        <v>21.0</v>
      </c>
      <c r="AT23" s="193">
        <v>23.0</v>
      </c>
      <c r="AU23" s="193">
        <v>22.0</v>
      </c>
      <c r="AV23" s="193">
        <v>20.0</v>
      </c>
      <c r="AW23" s="159">
        <f t="shared" si="15"/>
        <v>84</v>
      </c>
      <c r="AX23" s="193">
        <v>18.0</v>
      </c>
      <c r="AY23" s="193">
        <v>20.0</v>
      </c>
      <c r="AZ23" s="193">
        <v>21.0</v>
      </c>
      <c r="BA23" s="193">
        <v>25.0</v>
      </c>
      <c r="BB23" s="159">
        <f t="shared" si="16"/>
        <v>75</v>
      </c>
      <c r="BC23" s="193">
        <v>20.0</v>
      </c>
      <c r="BD23" s="193">
        <v>18.0</v>
      </c>
      <c r="BE23" s="193">
        <v>17.0</v>
      </c>
      <c r="BF23" s="193">
        <v>20.0</v>
      </c>
      <c r="BG23" s="158">
        <f t="shared" si="17"/>
        <v>308</v>
      </c>
      <c r="BH23" s="159">
        <f t="shared" si="18"/>
        <v>105</v>
      </c>
      <c r="BI23" s="193">
        <v>24.0</v>
      </c>
      <c r="BJ23" s="193">
        <v>26.0</v>
      </c>
      <c r="BK23" s="193">
        <v>27.0</v>
      </c>
      <c r="BL23" s="193">
        <v>28.0</v>
      </c>
      <c r="BM23" s="159">
        <f t="shared" si="19"/>
        <v>106</v>
      </c>
      <c r="BN23" s="193">
        <v>28.0</v>
      </c>
      <c r="BO23" s="193">
        <v>27.0</v>
      </c>
      <c r="BP23" s="193">
        <v>25.0</v>
      </c>
      <c r="BQ23" s="193">
        <v>26.0</v>
      </c>
      <c r="BR23" s="159">
        <f t="shared" si="20"/>
        <v>97</v>
      </c>
      <c r="BS23" s="193">
        <v>22.0</v>
      </c>
      <c r="BT23" s="193">
        <v>24.0</v>
      </c>
      <c r="BU23" s="193">
        <v>25.0</v>
      </c>
      <c r="BV23" s="193">
        <v>26.0</v>
      </c>
      <c r="BW23" s="156">
        <f t="shared" si="21"/>
        <v>1106</v>
      </c>
      <c r="BX23" s="157">
        <f t="shared" si="22"/>
        <v>553</v>
      </c>
      <c r="BY23" s="158">
        <f t="shared" si="23"/>
        <v>245</v>
      </c>
      <c r="BZ23" s="159">
        <f t="shared" si="24"/>
        <v>75</v>
      </c>
      <c r="CA23" s="193">
        <v>20.0</v>
      </c>
      <c r="CB23" s="193">
        <v>18.0</v>
      </c>
      <c r="CC23" s="193">
        <v>17.0</v>
      </c>
      <c r="CD23" s="193">
        <v>20.0</v>
      </c>
      <c r="CE23" s="159">
        <f t="shared" si="25"/>
        <v>86</v>
      </c>
      <c r="CF23" s="193">
        <v>21.0</v>
      </c>
      <c r="CG23" s="193">
        <v>23.0</v>
      </c>
      <c r="CH23" s="193">
        <v>22.0</v>
      </c>
      <c r="CI23" s="193">
        <v>20.0</v>
      </c>
      <c r="CJ23" s="159">
        <f t="shared" si="26"/>
        <v>84</v>
      </c>
      <c r="CK23" s="193">
        <v>18.0</v>
      </c>
      <c r="CL23" s="193">
        <v>20.0</v>
      </c>
      <c r="CM23" s="193">
        <v>21.0</v>
      </c>
      <c r="CN23" s="193">
        <v>25.0</v>
      </c>
      <c r="CO23" s="158">
        <f t="shared" si="27"/>
        <v>308</v>
      </c>
      <c r="CP23" s="159">
        <f t="shared" si="28"/>
        <v>97</v>
      </c>
      <c r="CQ23" s="193">
        <v>22.0</v>
      </c>
      <c r="CR23" s="193">
        <v>24.0</v>
      </c>
      <c r="CS23" s="193">
        <v>25.0</v>
      </c>
      <c r="CT23" s="193">
        <v>26.0</v>
      </c>
      <c r="CU23" s="159">
        <f t="shared" si="29"/>
        <v>105</v>
      </c>
      <c r="CV23" s="193">
        <v>24.0</v>
      </c>
      <c r="CW23" s="193">
        <v>26.0</v>
      </c>
      <c r="CX23" s="193">
        <v>27.0</v>
      </c>
      <c r="CY23" s="193">
        <v>28.0</v>
      </c>
      <c r="CZ23" s="159">
        <f t="shared" si="30"/>
        <v>106</v>
      </c>
      <c r="DA23" s="193">
        <v>28.0</v>
      </c>
      <c r="DB23" s="193">
        <v>27.0</v>
      </c>
      <c r="DC23" s="193">
        <v>25.0</v>
      </c>
      <c r="DD23" s="193">
        <v>26.0</v>
      </c>
      <c r="DE23" s="157">
        <f t="shared" si="31"/>
        <v>553</v>
      </c>
      <c r="DF23" s="158">
        <f t="shared" si="32"/>
        <v>308</v>
      </c>
      <c r="DG23" s="159">
        <f t="shared" si="33"/>
        <v>106</v>
      </c>
      <c r="DH23" s="193">
        <v>28.0</v>
      </c>
      <c r="DI23" s="193">
        <v>27.0</v>
      </c>
      <c r="DJ23" s="193">
        <v>25.0</v>
      </c>
      <c r="DK23" s="193">
        <v>26.0</v>
      </c>
      <c r="DL23" s="159">
        <f t="shared" si="34"/>
        <v>97</v>
      </c>
      <c r="DM23" s="193">
        <v>22.0</v>
      </c>
      <c r="DN23" s="193">
        <v>24.0</v>
      </c>
      <c r="DO23" s="193">
        <v>25.0</v>
      </c>
      <c r="DP23" s="193">
        <v>26.0</v>
      </c>
      <c r="DQ23" s="159">
        <f t="shared" si="35"/>
        <v>105</v>
      </c>
      <c r="DR23" s="193">
        <v>24.0</v>
      </c>
      <c r="DS23" s="193">
        <v>26.0</v>
      </c>
      <c r="DT23" s="193">
        <v>27.0</v>
      </c>
      <c r="DU23" s="193">
        <v>28.0</v>
      </c>
      <c r="DV23" s="158">
        <f t="shared" si="36"/>
        <v>245</v>
      </c>
      <c r="DW23" s="159">
        <f t="shared" si="37"/>
        <v>86</v>
      </c>
      <c r="DX23" s="193">
        <v>21.0</v>
      </c>
      <c r="DY23" s="193">
        <v>23.0</v>
      </c>
      <c r="DZ23" s="193">
        <v>22.0</v>
      </c>
      <c r="EA23" s="193">
        <v>20.0</v>
      </c>
      <c r="EB23" s="159">
        <f t="shared" si="38"/>
        <v>75</v>
      </c>
      <c r="EC23" s="193">
        <v>20.0</v>
      </c>
      <c r="ED23" s="193">
        <v>18.0</v>
      </c>
      <c r="EE23" s="193">
        <v>17.0</v>
      </c>
      <c r="EF23" s="193">
        <v>20.0</v>
      </c>
      <c r="EG23" s="159">
        <f t="shared" si="39"/>
        <v>84</v>
      </c>
      <c r="EH23" s="193">
        <v>18.0</v>
      </c>
      <c r="EI23" s="193">
        <v>20.0</v>
      </c>
      <c r="EJ23" s="193">
        <v>21.0</v>
      </c>
      <c r="EK23" s="193">
        <v>25.0</v>
      </c>
      <c r="EL23" s="156">
        <f t="shared" si="40"/>
        <v>1106</v>
      </c>
      <c r="EM23" s="157">
        <f t="shared" si="41"/>
        <v>553</v>
      </c>
      <c r="EN23" s="158">
        <f t="shared" si="42"/>
        <v>245</v>
      </c>
      <c r="EO23" s="159">
        <f t="shared" si="43"/>
        <v>75</v>
      </c>
      <c r="EP23" s="193">
        <v>20.0</v>
      </c>
      <c r="EQ23" s="193">
        <v>18.0</v>
      </c>
      <c r="ER23" s="193">
        <v>17.0</v>
      </c>
      <c r="ES23" s="193">
        <v>20.0</v>
      </c>
      <c r="ET23" s="159">
        <f t="shared" si="44"/>
        <v>84</v>
      </c>
      <c r="EU23" s="193">
        <v>18.0</v>
      </c>
      <c r="EV23" s="193">
        <v>20.0</v>
      </c>
      <c r="EW23" s="193">
        <v>21.0</v>
      </c>
      <c r="EX23" s="193">
        <v>25.0</v>
      </c>
      <c r="EY23" s="159">
        <f t="shared" si="45"/>
        <v>86</v>
      </c>
      <c r="EZ23" s="193">
        <v>21.0</v>
      </c>
      <c r="FA23" s="193">
        <v>23.0</v>
      </c>
      <c r="FB23" s="193">
        <v>22.0</v>
      </c>
      <c r="FC23" s="193">
        <v>20.0</v>
      </c>
      <c r="FD23" s="158">
        <f t="shared" si="46"/>
        <v>308</v>
      </c>
      <c r="FE23" s="159">
        <f t="shared" si="47"/>
        <v>97</v>
      </c>
      <c r="FF23" s="193">
        <v>22.0</v>
      </c>
      <c r="FG23" s="193">
        <v>24.0</v>
      </c>
      <c r="FH23" s="193">
        <v>25.0</v>
      </c>
      <c r="FI23" s="193">
        <v>26.0</v>
      </c>
      <c r="FJ23" s="159">
        <f t="shared" si="48"/>
        <v>105</v>
      </c>
      <c r="FK23" s="193">
        <v>24.0</v>
      </c>
      <c r="FL23" s="193">
        <v>26.0</v>
      </c>
      <c r="FM23" s="193">
        <v>27.0</v>
      </c>
      <c r="FN23" s="193">
        <v>28.0</v>
      </c>
      <c r="FO23" s="159">
        <f t="shared" si="49"/>
        <v>106</v>
      </c>
      <c r="FP23" s="193">
        <v>28.0</v>
      </c>
      <c r="FQ23" s="193">
        <v>27.0</v>
      </c>
      <c r="FR23" s="193">
        <v>25.0</v>
      </c>
      <c r="FS23" s="193">
        <v>26.0</v>
      </c>
      <c r="FT23" s="157">
        <f t="shared" si="50"/>
        <v>553</v>
      </c>
      <c r="FU23" s="158">
        <f t="shared" si="51"/>
        <v>308</v>
      </c>
      <c r="FV23" s="159">
        <f t="shared" si="52"/>
        <v>106</v>
      </c>
      <c r="FW23" s="193">
        <v>28.0</v>
      </c>
      <c r="FX23" s="193">
        <v>27.0</v>
      </c>
      <c r="FY23" s="193">
        <v>25.0</v>
      </c>
      <c r="FZ23" s="193">
        <v>26.0</v>
      </c>
      <c r="GA23" s="159">
        <f t="shared" si="53"/>
        <v>97</v>
      </c>
      <c r="GB23" s="193">
        <v>22.0</v>
      </c>
      <c r="GC23" s="193">
        <v>24.0</v>
      </c>
      <c r="GD23" s="193">
        <v>25.0</v>
      </c>
      <c r="GE23" s="193">
        <v>26.0</v>
      </c>
      <c r="GF23" s="159">
        <f t="shared" si="54"/>
        <v>105</v>
      </c>
      <c r="GG23" s="193">
        <v>24.0</v>
      </c>
      <c r="GH23" s="193">
        <v>26.0</v>
      </c>
      <c r="GI23" s="193">
        <v>27.0</v>
      </c>
      <c r="GJ23" s="193">
        <v>28.0</v>
      </c>
      <c r="GK23" s="158">
        <f t="shared" si="55"/>
        <v>245</v>
      </c>
      <c r="GL23" s="159">
        <f t="shared" si="56"/>
        <v>84</v>
      </c>
      <c r="GM23" s="193">
        <v>18.0</v>
      </c>
      <c r="GN23" s="193">
        <v>20.0</v>
      </c>
      <c r="GO23" s="193">
        <v>21.0</v>
      </c>
      <c r="GP23" s="193">
        <v>25.0</v>
      </c>
      <c r="GQ23" s="159">
        <f t="shared" si="57"/>
        <v>75</v>
      </c>
      <c r="GR23" s="193">
        <v>20.0</v>
      </c>
      <c r="GS23" s="193">
        <v>18.0</v>
      </c>
      <c r="GT23" s="193">
        <v>17.0</v>
      </c>
      <c r="GU23" s="193">
        <v>20.0</v>
      </c>
      <c r="GV23" s="159">
        <f t="shared" si="58"/>
        <v>86</v>
      </c>
      <c r="GW23" s="193">
        <v>21.0</v>
      </c>
      <c r="GX23" s="193">
        <v>23.0</v>
      </c>
      <c r="GY23" s="193">
        <v>22.0</v>
      </c>
      <c r="GZ23" s="193">
        <v>20.0</v>
      </c>
      <c r="HA23" s="15"/>
      <c r="HB23" s="15"/>
    </row>
    <row r="24" ht="15.75" customHeight="1">
      <c r="A24" s="13"/>
      <c r="B24" s="82"/>
      <c r="C24" s="152">
        <v>3.0</v>
      </c>
      <c r="D24" s="153" t="s">
        <v>74</v>
      </c>
      <c r="E24" s="154" t="s">
        <v>19</v>
      </c>
      <c r="F24" s="15"/>
      <c r="G24" s="155">
        <f t="shared" si="1"/>
        <v>2016</v>
      </c>
      <c r="H24" s="156">
        <f t="shared" si="2"/>
        <v>672</v>
      </c>
      <c r="I24" s="157">
        <f t="shared" si="3"/>
        <v>336</v>
      </c>
      <c r="J24" s="158">
        <f t="shared" si="4"/>
        <v>168</v>
      </c>
      <c r="K24" s="159">
        <f t="shared" si="5"/>
        <v>56</v>
      </c>
      <c r="L24" s="160">
        <v>14.0</v>
      </c>
      <c r="M24" s="160">
        <v>14.0</v>
      </c>
      <c r="N24" s="160">
        <v>14.0</v>
      </c>
      <c r="O24" s="160">
        <v>14.0</v>
      </c>
      <c r="P24" s="159">
        <f t="shared" si="6"/>
        <v>56</v>
      </c>
      <c r="Q24" s="160">
        <v>14.0</v>
      </c>
      <c r="R24" s="160">
        <v>14.0</v>
      </c>
      <c r="S24" s="160">
        <v>14.0</v>
      </c>
      <c r="T24" s="160">
        <v>14.0</v>
      </c>
      <c r="U24" s="159">
        <f t="shared" si="7"/>
        <v>56</v>
      </c>
      <c r="V24" s="160">
        <v>14.0</v>
      </c>
      <c r="W24" s="160">
        <v>14.0</v>
      </c>
      <c r="X24" s="160">
        <v>14.0</v>
      </c>
      <c r="Y24" s="160">
        <v>14.0</v>
      </c>
      <c r="Z24" s="158">
        <f t="shared" si="8"/>
        <v>168</v>
      </c>
      <c r="AA24" s="159">
        <f t="shared" si="9"/>
        <v>56</v>
      </c>
      <c r="AB24" s="160">
        <v>14.0</v>
      </c>
      <c r="AC24" s="160">
        <v>14.0</v>
      </c>
      <c r="AD24" s="160">
        <v>14.0</v>
      </c>
      <c r="AE24" s="160">
        <v>14.0</v>
      </c>
      <c r="AF24" s="159">
        <f t="shared" si="10"/>
        <v>56</v>
      </c>
      <c r="AG24" s="160">
        <v>14.0</v>
      </c>
      <c r="AH24" s="160">
        <v>14.0</v>
      </c>
      <c r="AI24" s="160">
        <v>14.0</v>
      </c>
      <c r="AJ24" s="160">
        <v>14.0</v>
      </c>
      <c r="AK24" s="159">
        <f t="shared" si="11"/>
        <v>56</v>
      </c>
      <c r="AL24" s="160">
        <v>14.0</v>
      </c>
      <c r="AM24" s="160">
        <v>14.0</v>
      </c>
      <c r="AN24" s="160">
        <v>14.0</v>
      </c>
      <c r="AO24" s="160">
        <v>14.0</v>
      </c>
      <c r="AP24" s="157">
        <f t="shared" si="12"/>
        <v>336</v>
      </c>
      <c r="AQ24" s="158">
        <f t="shared" si="13"/>
        <v>168</v>
      </c>
      <c r="AR24" s="159">
        <f t="shared" si="14"/>
        <v>56</v>
      </c>
      <c r="AS24" s="160">
        <v>14.0</v>
      </c>
      <c r="AT24" s="160">
        <v>14.0</v>
      </c>
      <c r="AU24" s="160">
        <v>14.0</v>
      </c>
      <c r="AV24" s="160">
        <v>14.0</v>
      </c>
      <c r="AW24" s="159">
        <f t="shared" si="15"/>
        <v>56</v>
      </c>
      <c r="AX24" s="160">
        <v>14.0</v>
      </c>
      <c r="AY24" s="160">
        <v>14.0</v>
      </c>
      <c r="AZ24" s="160">
        <v>14.0</v>
      </c>
      <c r="BA24" s="160">
        <v>14.0</v>
      </c>
      <c r="BB24" s="159">
        <f t="shared" si="16"/>
        <v>56</v>
      </c>
      <c r="BC24" s="160">
        <v>14.0</v>
      </c>
      <c r="BD24" s="160">
        <v>14.0</v>
      </c>
      <c r="BE24" s="160">
        <v>14.0</v>
      </c>
      <c r="BF24" s="160">
        <v>14.0</v>
      </c>
      <c r="BG24" s="158">
        <f t="shared" si="17"/>
        <v>168</v>
      </c>
      <c r="BH24" s="159">
        <f t="shared" si="18"/>
        <v>56</v>
      </c>
      <c r="BI24" s="160">
        <v>14.0</v>
      </c>
      <c r="BJ24" s="160">
        <v>14.0</v>
      </c>
      <c r="BK24" s="160">
        <v>14.0</v>
      </c>
      <c r="BL24" s="160">
        <v>14.0</v>
      </c>
      <c r="BM24" s="159">
        <f t="shared" si="19"/>
        <v>56</v>
      </c>
      <c r="BN24" s="160">
        <v>14.0</v>
      </c>
      <c r="BO24" s="160">
        <v>14.0</v>
      </c>
      <c r="BP24" s="160">
        <v>14.0</v>
      </c>
      <c r="BQ24" s="160">
        <v>14.0</v>
      </c>
      <c r="BR24" s="159">
        <f t="shared" si="20"/>
        <v>56</v>
      </c>
      <c r="BS24" s="160">
        <v>14.0</v>
      </c>
      <c r="BT24" s="160">
        <v>14.0</v>
      </c>
      <c r="BU24" s="160">
        <v>14.0</v>
      </c>
      <c r="BV24" s="160">
        <v>14.0</v>
      </c>
      <c r="BW24" s="156">
        <f t="shared" si="21"/>
        <v>672</v>
      </c>
      <c r="BX24" s="157">
        <f t="shared" si="22"/>
        <v>336</v>
      </c>
      <c r="BY24" s="158">
        <f t="shared" si="23"/>
        <v>168</v>
      </c>
      <c r="BZ24" s="159">
        <f t="shared" si="24"/>
        <v>56</v>
      </c>
      <c r="CA24" s="160">
        <v>14.0</v>
      </c>
      <c r="CB24" s="160">
        <v>14.0</v>
      </c>
      <c r="CC24" s="160">
        <v>14.0</v>
      </c>
      <c r="CD24" s="160">
        <v>14.0</v>
      </c>
      <c r="CE24" s="159">
        <f t="shared" si="25"/>
        <v>56</v>
      </c>
      <c r="CF24" s="160">
        <v>14.0</v>
      </c>
      <c r="CG24" s="160">
        <v>14.0</v>
      </c>
      <c r="CH24" s="160">
        <v>14.0</v>
      </c>
      <c r="CI24" s="160">
        <v>14.0</v>
      </c>
      <c r="CJ24" s="159">
        <f t="shared" si="26"/>
        <v>56</v>
      </c>
      <c r="CK24" s="160">
        <v>14.0</v>
      </c>
      <c r="CL24" s="160">
        <v>14.0</v>
      </c>
      <c r="CM24" s="160">
        <v>14.0</v>
      </c>
      <c r="CN24" s="160">
        <v>14.0</v>
      </c>
      <c r="CO24" s="158">
        <f t="shared" si="27"/>
        <v>168</v>
      </c>
      <c r="CP24" s="159">
        <f t="shared" si="28"/>
        <v>56</v>
      </c>
      <c r="CQ24" s="160">
        <v>14.0</v>
      </c>
      <c r="CR24" s="160">
        <v>14.0</v>
      </c>
      <c r="CS24" s="160">
        <v>14.0</v>
      </c>
      <c r="CT24" s="160">
        <v>14.0</v>
      </c>
      <c r="CU24" s="159">
        <f t="shared" si="29"/>
        <v>56</v>
      </c>
      <c r="CV24" s="160">
        <v>14.0</v>
      </c>
      <c r="CW24" s="160">
        <v>14.0</v>
      </c>
      <c r="CX24" s="160">
        <v>14.0</v>
      </c>
      <c r="CY24" s="160">
        <v>14.0</v>
      </c>
      <c r="CZ24" s="159">
        <f t="shared" si="30"/>
        <v>56</v>
      </c>
      <c r="DA24" s="160">
        <v>14.0</v>
      </c>
      <c r="DB24" s="160">
        <v>14.0</v>
      </c>
      <c r="DC24" s="160">
        <v>14.0</v>
      </c>
      <c r="DD24" s="160">
        <v>14.0</v>
      </c>
      <c r="DE24" s="157">
        <f t="shared" si="31"/>
        <v>336</v>
      </c>
      <c r="DF24" s="158">
        <f t="shared" si="32"/>
        <v>168</v>
      </c>
      <c r="DG24" s="159">
        <f t="shared" si="33"/>
        <v>56</v>
      </c>
      <c r="DH24" s="160">
        <v>14.0</v>
      </c>
      <c r="DI24" s="160">
        <v>14.0</v>
      </c>
      <c r="DJ24" s="160">
        <v>14.0</v>
      </c>
      <c r="DK24" s="160">
        <v>14.0</v>
      </c>
      <c r="DL24" s="159">
        <f t="shared" si="34"/>
        <v>56</v>
      </c>
      <c r="DM24" s="160">
        <v>14.0</v>
      </c>
      <c r="DN24" s="160">
        <v>14.0</v>
      </c>
      <c r="DO24" s="160">
        <v>14.0</v>
      </c>
      <c r="DP24" s="160">
        <v>14.0</v>
      </c>
      <c r="DQ24" s="159">
        <f t="shared" si="35"/>
        <v>56</v>
      </c>
      <c r="DR24" s="160">
        <v>14.0</v>
      </c>
      <c r="DS24" s="160">
        <v>14.0</v>
      </c>
      <c r="DT24" s="160">
        <v>14.0</v>
      </c>
      <c r="DU24" s="160">
        <v>14.0</v>
      </c>
      <c r="DV24" s="158">
        <f t="shared" si="36"/>
        <v>168</v>
      </c>
      <c r="DW24" s="159">
        <f t="shared" si="37"/>
        <v>56</v>
      </c>
      <c r="DX24" s="160">
        <v>14.0</v>
      </c>
      <c r="DY24" s="160">
        <v>14.0</v>
      </c>
      <c r="DZ24" s="160">
        <v>14.0</v>
      </c>
      <c r="EA24" s="160">
        <v>14.0</v>
      </c>
      <c r="EB24" s="159">
        <f t="shared" si="38"/>
        <v>56</v>
      </c>
      <c r="EC24" s="160">
        <v>14.0</v>
      </c>
      <c r="ED24" s="160">
        <v>14.0</v>
      </c>
      <c r="EE24" s="160">
        <v>14.0</v>
      </c>
      <c r="EF24" s="160">
        <v>14.0</v>
      </c>
      <c r="EG24" s="159">
        <f t="shared" si="39"/>
        <v>56</v>
      </c>
      <c r="EH24" s="160">
        <v>14.0</v>
      </c>
      <c r="EI24" s="160">
        <v>14.0</v>
      </c>
      <c r="EJ24" s="160">
        <v>14.0</v>
      </c>
      <c r="EK24" s="160">
        <v>14.0</v>
      </c>
      <c r="EL24" s="156">
        <f t="shared" si="40"/>
        <v>672</v>
      </c>
      <c r="EM24" s="157">
        <f t="shared" si="41"/>
        <v>336</v>
      </c>
      <c r="EN24" s="158">
        <f t="shared" si="42"/>
        <v>168</v>
      </c>
      <c r="EO24" s="159">
        <f t="shared" si="43"/>
        <v>56</v>
      </c>
      <c r="EP24" s="160">
        <v>14.0</v>
      </c>
      <c r="EQ24" s="160">
        <v>14.0</v>
      </c>
      <c r="ER24" s="160">
        <v>14.0</v>
      </c>
      <c r="ES24" s="160">
        <v>14.0</v>
      </c>
      <c r="ET24" s="159">
        <f t="shared" si="44"/>
        <v>56</v>
      </c>
      <c r="EU24" s="160">
        <v>14.0</v>
      </c>
      <c r="EV24" s="160">
        <v>14.0</v>
      </c>
      <c r="EW24" s="160">
        <v>14.0</v>
      </c>
      <c r="EX24" s="160">
        <v>14.0</v>
      </c>
      <c r="EY24" s="159">
        <f t="shared" si="45"/>
        <v>56</v>
      </c>
      <c r="EZ24" s="160">
        <v>14.0</v>
      </c>
      <c r="FA24" s="160">
        <v>14.0</v>
      </c>
      <c r="FB24" s="160">
        <v>14.0</v>
      </c>
      <c r="FC24" s="160">
        <v>14.0</v>
      </c>
      <c r="FD24" s="158">
        <f t="shared" si="46"/>
        <v>168</v>
      </c>
      <c r="FE24" s="159">
        <f t="shared" si="47"/>
        <v>56</v>
      </c>
      <c r="FF24" s="160">
        <v>14.0</v>
      </c>
      <c r="FG24" s="160">
        <v>14.0</v>
      </c>
      <c r="FH24" s="160">
        <v>14.0</v>
      </c>
      <c r="FI24" s="160">
        <v>14.0</v>
      </c>
      <c r="FJ24" s="159">
        <f t="shared" si="48"/>
        <v>56</v>
      </c>
      <c r="FK24" s="160">
        <v>14.0</v>
      </c>
      <c r="FL24" s="160">
        <v>14.0</v>
      </c>
      <c r="FM24" s="160">
        <v>14.0</v>
      </c>
      <c r="FN24" s="160">
        <v>14.0</v>
      </c>
      <c r="FO24" s="159">
        <f t="shared" si="49"/>
        <v>56</v>
      </c>
      <c r="FP24" s="160">
        <v>14.0</v>
      </c>
      <c r="FQ24" s="160">
        <v>14.0</v>
      </c>
      <c r="FR24" s="160">
        <v>14.0</v>
      </c>
      <c r="FS24" s="160">
        <v>14.0</v>
      </c>
      <c r="FT24" s="157">
        <f t="shared" si="50"/>
        <v>336</v>
      </c>
      <c r="FU24" s="158">
        <f t="shared" si="51"/>
        <v>168</v>
      </c>
      <c r="FV24" s="159">
        <f t="shared" si="52"/>
        <v>56</v>
      </c>
      <c r="FW24" s="160">
        <v>14.0</v>
      </c>
      <c r="FX24" s="160">
        <v>14.0</v>
      </c>
      <c r="FY24" s="160">
        <v>14.0</v>
      </c>
      <c r="FZ24" s="160">
        <v>14.0</v>
      </c>
      <c r="GA24" s="159">
        <f t="shared" si="53"/>
        <v>56</v>
      </c>
      <c r="GB24" s="160">
        <v>14.0</v>
      </c>
      <c r="GC24" s="160">
        <v>14.0</v>
      </c>
      <c r="GD24" s="160">
        <v>14.0</v>
      </c>
      <c r="GE24" s="160">
        <v>14.0</v>
      </c>
      <c r="GF24" s="159">
        <f t="shared" si="54"/>
        <v>56</v>
      </c>
      <c r="GG24" s="160">
        <v>14.0</v>
      </c>
      <c r="GH24" s="160">
        <v>14.0</v>
      </c>
      <c r="GI24" s="160">
        <v>14.0</v>
      </c>
      <c r="GJ24" s="160">
        <v>14.0</v>
      </c>
      <c r="GK24" s="158">
        <f t="shared" si="55"/>
        <v>168</v>
      </c>
      <c r="GL24" s="159">
        <f t="shared" si="56"/>
        <v>56</v>
      </c>
      <c r="GM24" s="160">
        <v>14.0</v>
      </c>
      <c r="GN24" s="160">
        <v>14.0</v>
      </c>
      <c r="GO24" s="160">
        <v>14.0</v>
      </c>
      <c r="GP24" s="160">
        <v>14.0</v>
      </c>
      <c r="GQ24" s="159">
        <f t="shared" si="57"/>
        <v>56</v>
      </c>
      <c r="GR24" s="160">
        <v>14.0</v>
      </c>
      <c r="GS24" s="160">
        <v>14.0</v>
      </c>
      <c r="GT24" s="160">
        <v>14.0</v>
      </c>
      <c r="GU24" s="160">
        <v>14.0</v>
      </c>
      <c r="GV24" s="159">
        <f t="shared" si="58"/>
        <v>56</v>
      </c>
      <c r="GW24" s="160">
        <v>14.0</v>
      </c>
      <c r="GX24" s="160">
        <v>14.0</v>
      </c>
      <c r="GY24" s="160">
        <v>14.0</v>
      </c>
      <c r="GZ24" s="160">
        <v>14.0</v>
      </c>
      <c r="HA24" s="15"/>
      <c r="HB24" s="15"/>
    </row>
    <row r="25" ht="15.75" customHeight="1">
      <c r="A25" s="13"/>
      <c r="B25" s="82"/>
      <c r="C25" s="78"/>
      <c r="D25" s="78"/>
      <c r="E25" s="154" t="s">
        <v>26</v>
      </c>
      <c r="F25" s="15"/>
      <c r="G25" s="155">
        <f t="shared" si="1"/>
        <v>1566</v>
      </c>
      <c r="H25" s="156">
        <f t="shared" si="2"/>
        <v>522</v>
      </c>
      <c r="I25" s="157">
        <f t="shared" si="3"/>
        <v>261</v>
      </c>
      <c r="J25" s="158">
        <f t="shared" si="4"/>
        <v>140</v>
      </c>
      <c r="K25" s="159">
        <f t="shared" si="5"/>
        <v>49</v>
      </c>
      <c r="L25" s="193">
        <v>10.0</v>
      </c>
      <c r="M25" s="193">
        <v>12.0</v>
      </c>
      <c r="N25" s="193">
        <v>13.0</v>
      </c>
      <c r="O25" s="193">
        <v>14.0</v>
      </c>
      <c r="P25" s="159">
        <f t="shared" si="6"/>
        <v>37</v>
      </c>
      <c r="Q25" s="193">
        <v>10.0</v>
      </c>
      <c r="R25" s="193">
        <v>9.0</v>
      </c>
      <c r="S25" s="193">
        <v>8.0</v>
      </c>
      <c r="T25" s="193">
        <v>10.0</v>
      </c>
      <c r="U25" s="159">
        <f t="shared" si="7"/>
        <v>54</v>
      </c>
      <c r="V25" s="193">
        <v>12.0</v>
      </c>
      <c r="W25" s="193">
        <v>13.0</v>
      </c>
      <c r="X25" s="193">
        <v>14.0</v>
      </c>
      <c r="Y25" s="193">
        <v>15.0</v>
      </c>
      <c r="Z25" s="158">
        <f t="shared" si="8"/>
        <v>121</v>
      </c>
      <c r="AA25" s="159">
        <f t="shared" si="9"/>
        <v>39</v>
      </c>
      <c r="AB25" s="193">
        <v>9.0</v>
      </c>
      <c r="AC25" s="193">
        <v>8.0</v>
      </c>
      <c r="AD25" s="193">
        <v>10.0</v>
      </c>
      <c r="AE25" s="193">
        <v>12.0</v>
      </c>
      <c r="AF25" s="159">
        <f t="shared" si="10"/>
        <v>43</v>
      </c>
      <c r="AG25" s="193">
        <v>11.0</v>
      </c>
      <c r="AH25" s="193">
        <v>13.0</v>
      </c>
      <c r="AI25" s="193">
        <v>9.0</v>
      </c>
      <c r="AJ25" s="193">
        <v>10.0</v>
      </c>
      <c r="AK25" s="159">
        <f t="shared" si="11"/>
        <v>39</v>
      </c>
      <c r="AL25" s="193">
        <v>10.0</v>
      </c>
      <c r="AM25" s="193">
        <v>9.0</v>
      </c>
      <c r="AN25" s="193">
        <v>8.0</v>
      </c>
      <c r="AO25" s="193">
        <v>12.0</v>
      </c>
      <c r="AP25" s="157">
        <f t="shared" si="12"/>
        <v>261</v>
      </c>
      <c r="AQ25" s="158">
        <f t="shared" si="13"/>
        <v>121</v>
      </c>
      <c r="AR25" s="159">
        <f t="shared" si="14"/>
        <v>39</v>
      </c>
      <c r="AS25" s="193">
        <v>10.0</v>
      </c>
      <c r="AT25" s="193">
        <v>9.0</v>
      </c>
      <c r="AU25" s="193">
        <v>8.0</v>
      </c>
      <c r="AV25" s="193">
        <v>12.0</v>
      </c>
      <c r="AW25" s="159">
        <f t="shared" si="15"/>
        <v>39</v>
      </c>
      <c r="AX25" s="193">
        <v>9.0</v>
      </c>
      <c r="AY25" s="193">
        <v>8.0</v>
      </c>
      <c r="AZ25" s="193">
        <v>10.0</v>
      </c>
      <c r="BA25" s="193">
        <v>12.0</v>
      </c>
      <c r="BB25" s="159">
        <f t="shared" si="16"/>
        <v>43</v>
      </c>
      <c r="BC25" s="193">
        <v>11.0</v>
      </c>
      <c r="BD25" s="193">
        <v>13.0</v>
      </c>
      <c r="BE25" s="193">
        <v>9.0</v>
      </c>
      <c r="BF25" s="193">
        <v>10.0</v>
      </c>
      <c r="BG25" s="158">
        <f t="shared" si="17"/>
        <v>140</v>
      </c>
      <c r="BH25" s="159">
        <f t="shared" si="18"/>
        <v>37</v>
      </c>
      <c r="BI25" s="193">
        <v>10.0</v>
      </c>
      <c r="BJ25" s="193">
        <v>9.0</v>
      </c>
      <c r="BK25" s="193">
        <v>8.0</v>
      </c>
      <c r="BL25" s="193">
        <v>10.0</v>
      </c>
      <c r="BM25" s="159">
        <f t="shared" si="19"/>
        <v>54</v>
      </c>
      <c r="BN25" s="193">
        <v>12.0</v>
      </c>
      <c r="BO25" s="193">
        <v>13.0</v>
      </c>
      <c r="BP25" s="193">
        <v>14.0</v>
      </c>
      <c r="BQ25" s="193">
        <v>15.0</v>
      </c>
      <c r="BR25" s="159">
        <f t="shared" si="20"/>
        <v>49</v>
      </c>
      <c r="BS25" s="193">
        <v>10.0</v>
      </c>
      <c r="BT25" s="193">
        <v>12.0</v>
      </c>
      <c r="BU25" s="193">
        <v>13.0</v>
      </c>
      <c r="BV25" s="193">
        <v>14.0</v>
      </c>
      <c r="BW25" s="156">
        <f t="shared" si="21"/>
        <v>522</v>
      </c>
      <c r="BX25" s="157">
        <f t="shared" si="22"/>
        <v>261</v>
      </c>
      <c r="BY25" s="158">
        <f t="shared" si="23"/>
        <v>121</v>
      </c>
      <c r="BZ25" s="159">
        <f t="shared" si="24"/>
        <v>43</v>
      </c>
      <c r="CA25" s="193">
        <v>11.0</v>
      </c>
      <c r="CB25" s="193">
        <v>13.0</v>
      </c>
      <c r="CC25" s="193">
        <v>9.0</v>
      </c>
      <c r="CD25" s="193">
        <v>10.0</v>
      </c>
      <c r="CE25" s="159">
        <f t="shared" si="25"/>
        <v>39</v>
      </c>
      <c r="CF25" s="193">
        <v>10.0</v>
      </c>
      <c r="CG25" s="193">
        <v>9.0</v>
      </c>
      <c r="CH25" s="193">
        <v>8.0</v>
      </c>
      <c r="CI25" s="193">
        <v>12.0</v>
      </c>
      <c r="CJ25" s="159">
        <f t="shared" si="26"/>
        <v>39</v>
      </c>
      <c r="CK25" s="193">
        <v>9.0</v>
      </c>
      <c r="CL25" s="193">
        <v>8.0</v>
      </c>
      <c r="CM25" s="193">
        <v>10.0</v>
      </c>
      <c r="CN25" s="193">
        <v>12.0</v>
      </c>
      <c r="CO25" s="158">
        <f t="shared" si="27"/>
        <v>140</v>
      </c>
      <c r="CP25" s="159">
        <f t="shared" si="28"/>
        <v>49</v>
      </c>
      <c r="CQ25" s="193">
        <v>10.0</v>
      </c>
      <c r="CR25" s="193">
        <v>12.0</v>
      </c>
      <c r="CS25" s="193">
        <v>13.0</v>
      </c>
      <c r="CT25" s="193">
        <v>14.0</v>
      </c>
      <c r="CU25" s="159">
        <f t="shared" si="29"/>
        <v>37</v>
      </c>
      <c r="CV25" s="193">
        <v>10.0</v>
      </c>
      <c r="CW25" s="193">
        <v>9.0</v>
      </c>
      <c r="CX25" s="193">
        <v>8.0</v>
      </c>
      <c r="CY25" s="193">
        <v>10.0</v>
      </c>
      <c r="CZ25" s="159">
        <f t="shared" si="30"/>
        <v>54</v>
      </c>
      <c r="DA25" s="193">
        <v>12.0</v>
      </c>
      <c r="DB25" s="193">
        <v>13.0</v>
      </c>
      <c r="DC25" s="193">
        <v>14.0</v>
      </c>
      <c r="DD25" s="193">
        <v>15.0</v>
      </c>
      <c r="DE25" s="157">
        <f t="shared" si="31"/>
        <v>261</v>
      </c>
      <c r="DF25" s="158">
        <f t="shared" si="32"/>
        <v>140</v>
      </c>
      <c r="DG25" s="159">
        <f t="shared" si="33"/>
        <v>54</v>
      </c>
      <c r="DH25" s="193">
        <v>12.0</v>
      </c>
      <c r="DI25" s="193">
        <v>13.0</v>
      </c>
      <c r="DJ25" s="193">
        <v>14.0</v>
      </c>
      <c r="DK25" s="193">
        <v>15.0</v>
      </c>
      <c r="DL25" s="159">
        <f t="shared" si="34"/>
        <v>49</v>
      </c>
      <c r="DM25" s="193">
        <v>10.0</v>
      </c>
      <c r="DN25" s="193">
        <v>12.0</v>
      </c>
      <c r="DO25" s="193">
        <v>13.0</v>
      </c>
      <c r="DP25" s="193">
        <v>14.0</v>
      </c>
      <c r="DQ25" s="159">
        <f t="shared" si="35"/>
        <v>37</v>
      </c>
      <c r="DR25" s="193">
        <v>10.0</v>
      </c>
      <c r="DS25" s="193">
        <v>9.0</v>
      </c>
      <c r="DT25" s="193">
        <v>8.0</v>
      </c>
      <c r="DU25" s="193">
        <v>10.0</v>
      </c>
      <c r="DV25" s="158">
        <f t="shared" si="36"/>
        <v>121</v>
      </c>
      <c r="DW25" s="159">
        <f t="shared" si="37"/>
        <v>39</v>
      </c>
      <c r="DX25" s="193">
        <v>10.0</v>
      </c>
      <c r="DY25" s="193">
        <v>9.0</v>
      </c>
      <c r="DZ25" s="193">
        <v>8.0</v>
      </c>
      <c r="EA25" s="193">
        <v>12.0</v>
      </c>
      <c r="EB25" s="159">
        <f t="shared" si="38"/>
        <v>43</v>
      </c>
      <c r="EC25" s="193">
        <v>11.0</v>
      </c>
      <c r="ED25" s="193">
        <v>13.0</v>
      </c>
      <c r="EE25" s="193">
        <v>9.0</v>
      </c>
      <c r="EF25" s="193">
        <v>10.0</v>
      </c>
      <c r="EG25" s="159">
        <f t="shared" si="39"/>
        <v>39</v>
      </c>
      <c r="EH25" s="193">
        <v>9.0</v>
      </c>
      <c r="EI25" s="193">
        <v>8.0</v>
      </c>
      <c r="EJ25" s="193">
        <v>10.0</v>
      </c>
      <c r="EK25" s="193">
        <v>12.0</v>
      </c>
      <c r="EL25" s="156">
        <f t="shared" si="40"/>
        <v>522</v>
      </c>
      <c r="EM25" s="157">
        <f t="shared" si="41"/>
        <v>261</v>
      </c>
      <c r="EN25" s="158">
        <f t="shared" si="42"/>
        <v>121</v>
      </c>
      <c r="EO25" s="159">
        <f t="shared" si="43"/>
        <v>43</v>
      </c>
      <c r="EP25" s="193">
        <v>11.0</v>
      </c>
      <c r="EQ25" s="193">
        <v>13.0</v>
      </c>
      <c r="ER25" s="193">
        <v>9.0</v>
      </c>
      <c r="ES25" s="193">
        <v>10.0</v>
      </c>
      <c r="ET25" s="159">
        <f t="shared" si="44"/>
        <v>39</v>
      </c>
      <c r="EU25" s="193">
        <v>9.0</v>
      </c>
      <c r="EV25" s="193">
        <v>8.0</v>
      </c>
      <c r="EW25" s="193">
        <v>10.0</v>
      </c>
      <c r="EX25" s="193">
        <v>12.0</v>
      </c>
      <c r="EY25" s="159">
        <f t="shared" si="45"/>
        <v>39</v>
      </c>
      <c r="EZ25" s="193">
        <v>10.0</v>
      </c>
      <c r="FA25" s="193">
        <v>9.0</v>
      </c>
      <c r="FB25" s="193">
        <v>8.0</v>
      </c>
      <c r="FC25" s="193">
        <v>12.0</v>
      </c>
      <c r="FD25" s="158">
        <f t="shared" si="46"/>
        <v>140</v>
      </c>
      <c r="FE25" s="159">
        <f t="shared" si="47"/>
        <v>49</v>
      </c>
      <c r="FF25" s="193">
        <v>10.0</v>
      </c>
      <c r="FG25" s="193">
        <v>12.0</v>
      </c>
      <c r="FH25" s="193">
        <v>13.0</v>
      </c>
      <c r="FI25" s="193">
        <v>14.0</v>
      </c>
      <c r="FJ25" s="159">
        <f t="shared" si="48"/>
        <v>37</v>
      </c>
      <c r="FK25" s="193">
        <v>10.0</v>
      </c>
      <c r="FL25" s="193">
        <v>9.0</v>
      </c>
      <c r="FM25" s="193">
        <v>8.0</v>
      </c>
      <c r="FN25" s="193">
        <v>10.0</v>
      </c>
      <c r="FO25" s="159">
        <f t="shared" si="49"/>
        <v>54</v>
      </c>
      <c r="FP25" s="193">
        <v>12.0</v>
      </c>
      <c r="FQ25" s="193">
        <v>13.0</v>
      </c>
      <c r="FR25" s="193">
        <v>14.0</v>
      </c>
      <c r="FS25" s="193">
        <v>15.0</v>
      </c>
      <c r="FT25" s="157">
        <f t="shared" si="50"/>
        <v>261</v>
      </c>
      <c r="FU25" s="158">
        <f t="shared" si="51"/>
        <v>140</v>
      </c>
      <c r="FV25" s="159">
        <f t="shared" si="52"/>
        <v>54</v>
      </c>
      <c r="FW25" s="193">
        <v>12.0</v>
      </c>
      <c r="FX25" s="193">
        <v>13.0</v>
      </c>
      <c r="FY25" s="193">
        <v>14.0</v>
      </c>
      <c r="FZ25" s="193">
        <v>15.0</v>
      </c>
      <c r="GA25" s="159">
        <f t="shared" si="53"/>
        <v>49</v>
      </c>
      <c r="GB25" s="193">
        <v>10.0</v>
      </c>
      <c r="GC25" s="193">
        <v>12.0</v>
      </c>
      <c r="GD25" s="193">
        <v>13.0</v>
      </c>
      <c r="GE25" s="193">
        <v>14.0</v>
      </c>
      <c r="GF25" s="159">
        <f t="shared" si="54"/>
        <v>37</v>
      </c>
      <c r="GG25" s="193">
        <v>10.0</v>
      </c>
      <c r="GH25" s="193">
        <v>9.0</v>
      </c>
      <c r="GI25" s="193">
        <v>8.0</v>
      </c>
      <c r="GJ25" s="193">
        <v>10.0</v>
      </c>
      <c r="GK25" s="158">
        <f t="shared" si="55"/>
        <v>121</v>
      </c>
      <c r="GL25" s="159">
        <f t="shared" si="56"/>
        <v>39</v>
      </c>
      <c r="GM25" s="193">
        <v>9.0</v>
      </c>
      <c r="GN25" s="193">
        <v>8.0</v>
      </c>
      <c r="GO25" s="193">
        <v>10.0</v>
      </c>
      <c r="GP25" s="193">
        <v>12.0</v>
      </c>
      <c r="GQ25" s="159">
        <f t="shared" si="57"/>
        <v>43</v>
      </c>
      <c r="GR25" s="193">
        <v>11.0</v>
      </c>
      <c r="GS25" s="193">
        <v>13.0</v>
      </c>
      <c r="GT25" s="193">
        <v>9.0</v>
      </c>
      <c r="GU25" s="193">
        <v>10.0</v>
      </c>
      <c r="GV25" s="159">
        <f t="shared" si="58"/>
        <v>39</v>
      </c>
      <c r="GW25" s="193">
        <v>10.0</v>
      </c>
      <c r="GX25" s="193">
        <v>9.0</v>
      </c>
      <c r="GY25" s="193">
        <v>8.0</v>
      </c>
      <c r="GZ25" s="193">
        <v>12.0</v>
      </c>
      <c r="HA25" s="15"/>
      <c r="HB25" s="15"/>
    </row>
    <row r="26" ht="15.75" customHeight="1">
      <c r="A26" s="249"/>
      <c r="B26" s="82"/>
      <c r="C26" s="152">
        <v>4.0</v>
      </c>
      <c r="D26" s="153" t="s">
        <v>88</v>
      </c>
      <c r="E26" s="250" t="s">
        <v>19</v>
      </c>
      <c r="F26" s="251"/>
      <c r="G26" s="155">
        <f t="shared" si="1"/>
        <v>7200</v>
      </c>
      <c r="H26" s="156">
        <f t="shared" si="2"/>
        <v>2400</v>
      </c>
      <c r="I26" s="157">
        <f t="shared" si="3"/>
        <v>1200</v>
      </c>
      <c r="J26" s="158">
        <f t="shared" si="4"/>
        <v>600</v>
      </c>
      <c r="K26" s="159">
        <f t="shared" si="5"/>
        <v>200</v>
      </c>
      <c r="L26" s="252">
        <v>50.0</v>
      </c>
      <c r="M26" s="252">
        <v>50.0</v>
      </c>
      <c r="N26" s="252">
        <v>50.0</v>
      </c>
      <c r="O26" s="252">
        <v>50.0</v>
      </c>
      <c r="P26" s="159">
        <f t="shared" si="6"/>
        <v>200</v>
      </c>
      <c r="Q26" s="252">
        <v>50.0</v>
      </c>
      <c r="R26" s="252">
        <v>50.0</v>
      </c>
      <c r="S26" s="252">
        <v>50.0</v>
      </c>
      <c r="T26" s="252">
        <v>50.0</v>
      </c>
      <c r="U26" s="159">
        <f t="shared" si="7"/>
        <v>200</v>
      </c>
      <c r="V26" s="253">
        <v>50.0</v>
      </c>
      <c r="W26" s="254">
        <v>50.0</v>
      </c>
      <c r="X26" s="254">
        <v>50.0</v>
      </c>
      <c r="Y26" s="254">
        <v>50.0</v>
      </c>
      <c r="Z26" s="158">
        <f t="shared" si="8"/>
        <v>600</v>
      </c>
      <c r="AA26" s="159">
        <f t="shared" si="9"/>
        <v>200</v>
      </c>
      <c r="AB26" s="253">
        <v>50.0</v>
      </c>
      <c r="AC26" s="254">
        <v>50.0</v>
      </c>
      <c r="AD26" s="254">
        <v>50.0</v>
      </c>
      <c r="AE26" s="254">
        <v>50.0</v>
      </c>
      <c r="AF26" s="159">
        <f t="shared" si="10"/>
        <v>200</v>
      </c>
      <c r="AG26" s="253">
        <v>50.0</v>
      </c>
      <c r="AH26" s="254">
        <v>50.0</v>
      </c>
      <c r="AI26" s="254">
        <v>50.0</v>
      </c>
      <c r="AJ26" s="254">
        <v>50.0</v>
      </c>
      <c r="AK26" s="159">
        <f t="shared" si="11"/>
        <v>200</v>
      </c>
      <c r="AL26" s="253">
        <v>50.0</v>
      </c>
      <c r="AM26" s="254">
        <v>50.0</v>
      </c>
      <c r="AN26" s="254">
        <v>50.0</v>
      </c>
      <c r="AO26" s="254">
        <v>50.0</v>
      </c>
      <c r="AP26" s="157">
        <f t="shared" si="12"/>
        <v>1200</v>
      </c>
      <c r="AQ26" s="158">
        <f t="shared" si="13"/>
        <v>600</v>
      </c>
      <c r="AR26" s="159">
        <f t="shared" si="14"/>
        <v>200</v>
      </c>
      <c r="AS26" s="253">
        <v>50.0</v>
      </c>
      <c r="AT26" s="254">
        <v>50.0</v>
      </c>
      <c r="AU26" s="254">
        <v>50.0</v>
      </c>
      <c r="AV26" s="254">
        <v>50.0</v>
      </c>
      <c r="AW26" s="159">
        <f t="shared" si="15"/>
        <v>200</v>
      </c>
      <c r="AX26" s="253">
        <v>50.0</v>
      </c>
      <c r="AY26" s="254">
        <v>50.0</v>
      </c>
      <c r="AZ26" s="254">
        <v>50.0</v>
      </c>
      <c r="BA26" s="254">
        <v>50.0</v>
      </c>
      <c r="BB26" s="159">
        <f t="shared" si="16"/>
        <v>200</v>
      </c>
      <c r="BC26" s="253">
        <v>50.0</v>
      </c>
      <c r="BD26" s="254">
        <v>50.0</v>
      </c>
      <c r="BE26" s="254">
        <v>50.0</v>
      </c>
      <c r="BF26" s="254">
        <v>50.0</v>
      </c>
      <c r="BG26" s="158">
        <f t="shared" si="17"/>
        <v>600</v>
      </c>
      <c r="BH26" s="159">
        <f t="shared" si="18"/>
        <v>200</v>
      </c>
      <c r="BI26" s="252">
        <v>50.0</v>
      </c>
      <c r="BJ26" s="252">
        <v>50.0</v>
      </c>
      <c r="BK26" s="252">
        <v>50.0</v>
      </c>
      <c r="BL26" s="252">
        <v>50.0</v>
      </c>
      <c r="BM26" s="159">
        <f t="shared" si="19"/>
        <v>200</v>
      </c>
      <c r="BN26" s="253">
        <v>50.0</v>
      </c>
      <c r="BO26" s="254">
        <v>50.0</v>
      </c>
      <c r="BP26" s="254">
        <v>50.0</v>
      </c>
      <c r="BQ26" s="254">
        <v>50.0</v>
      </c>
      <c r="BR26" s="159">
        <f t="shared" si="20"/>
        <v>200</v>
      </c>
      <c r="BS26" s="252">
        <v>50.0</v>
      </c>
      <c r="BT26" s="252">
        <v>50.0</v>
      </c>
      <c r="BU26" s="252">
        <v>50.0</v>
      </c>
      <c r="BV26" s="252">
        <v>50.0</v>
      </c>
      <c r="BW26" s="156">
        <f t="shared" si="21"/>
        <v>2400</v>
      </c>
      <c r="BX26" s="157">
        <f t="shared" si="22"/>
        <v>1200</v>
      </c>
      <c r="BY26" s="158">
        <f t="shared" si="23"/>
        <v>600</v>
      </c>
      <c r="BZ26" s="159">
        <f t="shared" si="24"/>
        <v>200</v>
      </c>
      <c r="CA26" s="253">
        <v>50.0</v>
      </c>
      <c r="CB26" s="254">
        <v>50.0</v>
      </c>
      <c r="CC26" s="254">
        <v>50.0</v>
      </c>
      <c r="CD26" s="254">
        <v>50.0</v>
      </c>
      <c r="CE26" s="159">
        <f t="shared" si="25"/>
        <v>200</v>
      </c>
      <c r="CF26" s="253">
        <v>50.0</v>
      </c>
      <c r="CG26" s="254">
        <v>50.0</v>
      </c>
      <c r="CH26" s="254">
        <v>50.0</v>
      </c>
      <c r="CI26" s="254">
        <v>50.0</v>
      </c>
      <c r="CJ26" s="159">
        <f t="shared" si="26"/>
        <v>200</v>
      </c>
      <c r="CK26" s="253">
        <v>50.0</v>
      </c>
      <c r="CL26" s="254">
        <v>50.0</v>
      </c>
      <c r="CM26" s="254">
        <v>50.0</v>
      </c>
      <c r="CN26" s="254">
        <v>50.0</v>
      </c>
      <c r="CO26" s="158">
        <f t="shared" si="27"/>
        <v>600</v>
      </c>
      <c r="CP26" s="159">
        <f t="shared" si="28"/>
        <v>200</v>
      </c>
      <c r="CQ26" s="252">
        <v>50.0</v>
      </c>
      <c r="CR26" s="252">
        <v>50.0</v>
      </c>
      <c r="CS26" s="252">
        <v>50.0</v>
      </c>
      <c r="CT26" s="252">
        <v>50.0</v>
      </c>
      <c r="CU26" s="159">
        <f t="shared" si="29"/>
        <v>200</v>
      </c>
      <c r="CV26" s="252">
        <v>50.0</v>
      </c>
      <c r="CW26" s="252">
        <v>50.0</v>
      </c>
      <c r="CX26" s="252">
        <v>50.0</v>
      </c>
      <c r="CY26" s="252">
        <v>50.0</v>
      </c>
      <c r="CZ26" s="159">
        <f t="shared" si="30"/>
        <v>200</v>
      </c>
      <c r="DA26" s="253">
        <v>50.0</v>
      </c>
      <c r="DB26" s="254">
        <v>50.0</v>
      </c>
      <c r="DC26" s="254">
        <v>50.0</v>
      </c>
      <c r="DD26" s="254">
        <v>50.0</v>
      </c>
      <c r="DE26" s="157">
        <f t="shared" si="31"/>
        <v>1200</v>
      </c>
      <c r="DF26" s="158">
        <f t="shared" si="32"/>
        <v>600</v>
      </c>
      <c r="DG26" s="159">
        <f t="shared" si="33"/>
        <v>200</v>
      </c>
      <c r="DH26" s="253">
        <v>50.0</v>
      </c>
      <c r="DI26" s="254">
        <v>50.0</v>
      </c>
      <c r="DJ26" s="254">
        <v>50.0</v>
      </c>
      <c r="DK26" s="254">
        <v>50.0</v>
      </c>
      <c r="DL26" s="159">
        <f t="shared" si="34"/>
        <v>200</v>
      </c>
      <c r="DM26" s="252">
        <v>50.0</v>
      </c>
      <c r="DN26" s="252">
        <v>50.0</v>
      </c>
      <c r="DO26" s="252">
        <v>50.0</v>
      </c>
      <c r="DP26" s="252">
        <v>50.0</v>
      </c>
      <c r="DQ26" s="159">
        <f t="shared" si="35"/>
        <v>200</v>
      </c>
      <c r="DR26" s="252">
        <v>50.0</v>
      </c>
      <c r="DS26" s="252">
        <v>50.0</v>
      </c>
      <c r="DT26" s="252">
        <v>50.0</v>
      </c>
      <c r="DU26" s="252">
        <v>50.0</v>
      </c>
      <c r="DV26" s="158">
        <f t="shared" si="36"/>
        <v>600</v>
      </c>
      <c r="DW26" s="159">
        <f t="shared" si="37"/>
        <v>200</v>
      </c>
      <c r="DX26" s="253">
        <v>50.0</v>
      </c>
      <c r="DY26" s="254">
        <v>50.0</v>
      </c>
      <c r="DZ26" s="254">
        <v>50.0</v>
      </c>
      <c r="EA26" s="254">
        <v>50.0</v>
      </c>
      <c r="EB26" s="159">
        <f t="shared" si="38"/>
        <v>200</v>
      </c>
      <c r="EC26" s="253">
        <v>50.0</v>
      </c>
      <c r="ED26" s="254">
        <v>50.0</v>
      </c>
      <c r="EE26" s="254">
        <v>50.0</v>
      </c>
      <c r="EF26" s="254">
        <v>50.0</v>
      </c>
      <c r="EG26" s="159">
        <f t="shared" si="39"/>
        <v>200</v>
      </c>
      <c r="EH26" s="253">
        <v>50.0</v>
      </c>
      <c r="EI26" s="254">
        <v>50.0</v>
      </c>
      <c r="EJ26" s="254">
        <v>50.0</v>
      </c>
      <c r="EK26" s="254">
        <v>50.0</v>
      </c>
      <c r="EL26" s="156">
        <f t="shared" si="40"/>
        <v>2400</v>
      </c>
      <c r="EM26" s="157">
        <f t="shared" si="41"/>
        <v>1200</v>
      </c>
      <c r="EN26" s="158">
        <f t="shared" si="42"/>
        <v>600</v>
      </c>
      <c r="EO26" s="159">
        <f t="shared" si="43"/>
        <v>200</v>
      </c>
      <c r="EP26" s="253">
        <v>50.0</v>
      </c>
      <c r="EQ26" s="254">
        <v>50.0</v>
      </c>
      <c r="ER26" s="254">
        <v>50.0</v>
      </c>
      <c r="ES26" s="254">
        <v>50.0</v>
      </c>
      <c r="ET26" s="159">
        <f t="shared" si="44"/>
        <v>200</v>
      </c>
      <c r="EU26" s="253">
        <v>50.0</v>
      </c>
      <c r="EV26" s="254">
        <v>50.0</v>
      </c>
      <c r="EW26" s="254">
        <v>50.0</v>
      </c>
      <c r="EX26" s="254">
        <v>50.0</v>
      </c>
      <c r="EY26" s="159">
        <f t="shared" si="45"/>
        <v>200</v>
      </c>
      <c r="EZ26" s="253">
        <v>50.0</v>
      </c>
      <c r="FA26" s="254">
        <v>50.0</v>
      </c>
      <c r="FB26" s="254">
        <v>50.0</v>
      </c>
      <c r="FC26" s="254">
        <v>50.0</v>
      </c>
      <c r="FD26" s="158">
        <f t="shared" si="46"/>
        <v>600</v>
      </c>
      <c r="FE26" s="159">
        <f t="shared" si="47"/>
        <v>200</v>
      </c>
      <c r="FF26" s="252">
        <v>50.0</v>
      </c>
      <c r="FG26" s="252">
        <v>50.0</v>
      </c>
      <c r="FH26" s="252">
        <v>50.0</v>
      </c>
      <c r="FI26" s="252">
        <v>50.0</v>
      </c>
      <c r="FJ26" s="159">
        <f t="shared" si="48"/>
        <v>200</v>
      </c>
      <c r="FK26" s="252">
        <v>50.0</v>
      </c>
      <c r="FL26" s="252">
        <v>50.0</v>
      </c>
      <c r="FM26" s="252">
        <v>50.0</v>
      </c>
      <c r="FN26" s="252">
        <v>50.0</v>
      </c>
      <c r="FO26" s="159">
        <f t="shared" si="49"/>
        <v>200</v>
      </c>
      <c r="FP26" s="253">
        <v>50.0</v>
      </c>
      <c r="FQ26" s="254">
        <v>50.0</v>
      </c>
      <c r="FR26" s="254">
        <v>50.0</v>
      </c>
      <c r="FS26" s="254">
        <v>50.0</v>
      </c>
      <c r="FT26" s="157">
        <f t="shared" si="50"/>
        <v>1200</v>
      </c>
      <c r="FU26" s="158">
        <f t="shared" si="51"/>
        <v>600</v>
      </c>
      <c r="FV26" s="159">
        <f t="shared" si="52"/>
        <v>200</v>
      </c>
      <c r="FW26" s="253">
        <v>50.0</v>
      </c>
      <c r="FX26" s="254">
        <v>50.0</v>
      </c>
      <c r="FY26" s="254">
        <v>50.0</v>
      </c>
      <c r="FZ26" s="254">
        <v>50.0</v>
      </c>
      <c r="GA26" s="159">
        <f t="shared" si="53"/>
        <v>200</v>
      </c>
      <c r="GB26" s="252">
        <v>50.0</v>
      </c>
      <c r="GC26" s="252">
        <v>50.0</v>
      </c>
      <c r="GD26" s="252">
        <v>50.0</v>
      </c>
      <c r="GE26" s="252">
        <v>50.0</v>
      </c>
      <c r="GF26" s="159">
        <f t="shared" si="54"/>
        <v>200</v>
      </c>
      <c r="GG26" s="252">
        <v>50.0</v>
      </c>
      <c r="GH26" s="252">
        <v>50.0</v>
      </c>
      <c r="GI26" s="252">
        <v>50.0</v>
      </c>
      <c r="GJ26" s="252">
        <v>50.0</v>
      </c>
      <c r="GK26" s="158">
        <f t="shared" si="55"/>
        <v>600</v>
      </c>
      <c r="GL26" s="159">
        <f t="shared" si="56"/>
        <v>200</v>
      </c>
      <c r="GM26" s="253">
        <v>50.0</v>
      </c>
      <c r="GN26" s="254">
        <v>50.0</v>
      </c>
      <c r="GO26" s="254">
        <v>50.0</v>
      </c>
      <c r="GP26" s="254">
        <v>50.0</v>
      </c>
      <c r="GQ26" s="159">
        <f t="shared" si="57"/>
        <v>200</v>
      </c>
      <c r="GR26" s="253">
        <v>50.0</v>
      </c>
      <c r="GS26" s="254">
        <v>50.0</v>
      </c>
      <c r="GT26" s="254">
        <v>50.0</v>
      </c>
      <c r="GU26" s="254">
        <v>50.0</v>
      </c>
      <c r="GV26" s="159">
        <f t="shared" si="58"/>
        <v>200</v>
      </c>
      <c r="GW26" s="253">
        <v>50.0</v>
      </c>
      <c r="GX26" s="254">
        <v>50.0</v>
      </c>
      <c r="GY26" s="254">
        <v>50.0</v>
      </c>
      <c r="GZ26" s="254">
        <v>50.0</v>
      </c>
      <c r="HA26" s="251"/>
      <c r="HB26" s="251"/>
    </row>
    <row r="27" ht="15.75" customHeight="1">
      <c r="A27" s="249"/>
      <c r="B27" s="78"/>
      <c r="C27" s="78"/>
      <c r="D27" s="78"/>
      <c r="E27" s="250" t="s">
        <v>26</v>
      </c>
      <c r="F27" s="251"/>
      <c r="G27" s="155">
        <f t="shared" si="1"/>
        <v>6450</v>
      </c>
      <c r="H27" s="156">
        <f t="shared" si="2"/>
        <v>2150</v>
      </c>
      <c r="I27" s="157">
        <f t="shared" si="3"/>
        <v>1075</v>
      </c>
      <c r="J27" s="158">
        <f t="shared" si="4"/>
        <v>567</v>
      </c>
      <c r="K27" s="159">
        <f t="shared" si="5"/>
        <v>186</v>
      </c>
      <c r="L27" s="257">
        <v>45.0</v>
      </c>
      <c r="M27" s="257">
        <v>46.0</v>
      </c>
      <c r="N27" s="257">
        <v>47.0</v>
      </c>
      <c r="O27" s="257">
        <v>48.0</v>
      </c>
      <c r="P27" s="159">
        <f t="shared" si="6"/>
        <v>179</v>
      </c>
      <c r="Q27" s="257">
        <v>42.0</v>
      </c>
      <c r="R27" s="257">
        <v>45.0</v>
      </c>
      <c r="S27" s="257">
        <v>44.0</v>
      </c>
      <c r="T27" s="257">
        <v>48.0</v>
      </c>
      <c r="U27" s="159">
        <f t="shared" si="7"/>
        <v>202</v>
      </c>
      <c r="V27" s="257">
        <v>49.0</v>
      </c>
      <c r="W27" s="257">
        <v>50.0</v>
      </c>
      <c r="X27" s="257">
        <v>51.0</v>
      </c>
      <c r="Y27" s="257">
        <v>52.0</v>
      </c>
      <c r="Z27" s="158">
        <f t="shared" si="8"/>
        <v>508</v>
      </c>
      <c r="AA27" s="159">
        <f t="shared" si="9"/>
        <v>170</v>
      </c>
      <c r="AB27" s="257">
        <v>40.0</v>
      </c>
      <c r="AC27" s="257">
        <v>42.0</v>
      </c>
      <c r="AD27" s="257">
        <v>43.0</v>
      </c>
      <c r="AE27" s="257">
        <v>45.0</v>
      </c>
      <c r="AF27" s="159">
        <f t="shared" si="10"/>
        <v>168</v>
      </c>
      <c r="AG27" s="257">
        <v>41.0</v>
      </c>
      <c r="AH27" s="257">
        <v>45.0</v>
      </c>
      <c r="AI27" s="257">
        <v>42.0</v>
      </c>
      <c r="AJ27" s="257">
        <v>40.0</v>
      </c>
      <c r="AK27" s="159">
        <f t="shared" si="11"/>
        <v>170</v>
      </c>
      <c r="AL27" s="257">
        <v>39.0</v>
      </c>
      <c r="AM27" s="257">
        <v>40.0</v>
      </c>
      <c r="AN27" s="257">
        <v>45.0</v>
      </c>
      <c r="AO27" s="257">
        <v>46.0</v>
      </c>
      <c r="AP27" s="157">
        <f t="shared" si="12"/>
        <v>1075</v>
      </c>
      <c r="AQ27" s="158">
        <f t="shared" si="13"/>
        <v>508</v>
      </c>
      <c r="AR27" s="159">
        <f t="shared" si="14"/>
        <v>170</v>
      </c>
      <c r="AS27" s="257">
        <v>39.0</v>
      </c>
      <c r="AT27" s="257">
        <v>40.0</v>
      </c>
      <c r="AU27" s="257">
        <v>45.0</v>
      </c>
      <c r="AV27" s="257">
        <v>46.0</v>
      </c>
      <c r="AW27" s="159">
        <f t="shared" si="15"/>
        <v>170</v>
      </c>
      <c r="AX27" s="257">
        <v>40.0</v>
      </c>
      <c r="AY27" s="257">
        <v>42.0</v>
      </c>
      <c r="AZ27" s="257">
        <v>43.0</v>
      </c>
      <c r="BA27" s="257">
        <v>45.0</v>
      </c>
      <c r="BB27" s="159">
        <f t="shared" si="16"/>
        <v>168</v>
      </c>
      <c r="BC27" s="257">
        <v>41.0</v>
      </c>
      <c r="BD27" s="257">
        <v>45.0</v>
      </c>
      <c r="BE27" s="257">
        <v>42.0</v>
      </c>
      <c r="BF27" s="257">
        <v>40.0</v>
      </c>
      <c r="BG27" s="158">
        <f t="shared" si="17"/>
        <v>567</v>
      </c>
      <c r="BH27" s="159">
        <f t="shared" si="18"/>
        <v>179</v>
      </c>
      <c r="BI27" s="257">
        <v>42.0</v>
      </c>
      <c r="BJ27" s="257">
        <v>45.0</v>
      </c>
      <c r="BK27" s="257">
        <v>44.0</v>
      </c>
      <c r="BL27" s="257">
        <v>48.0</v>
      </c>
      <c r="BM27" s="159">
        <f t="shared" si="19"/>
        <v>202</v>
      </c>
      <c r="BN27" s="257">
        <v>49.0</v>
      </c>
      <c r="BO27" s="257">
        <v>50.0</v>
      </c>
      <c r="BP27" s="257">
        <v>51.0</v>
      </c>
      <c r="BQ27" s="257">
        <v>52.0</v>
      </c>
      <c r="BR27" s="159">
        <f t="shared" si="20"/>
        <v>186</v>
      </c>
      <c r="BS27" s="257">
        <v>45.0</v>
      </c>
      <c r="BT27" s="257">
        <v>46.0</v>
      </c>
      <c r="BU27" s="257">
        <v>47.0</v>
      </c>
      <c r="BV27" s="257">
        <v>48.0</v>
      </c>
      <c r="BW27" s="156">
        <f t="shared" si="21"/>
        <v>2150</v>
      </c>
      <c r="BX27" s="157">
        <f t="shared" si="22"/>
        <v>1075</v>
      </c>
      <c r="BY27" s="158">
        <f t="shared" si="23"/>
        <v>508</v>
      </c>
      <c r="BZ27" s="159">
        <f t="shared" si="24"/>
        <v>168</v>
      </c>
      <c r="CA27" s="257">
        <v>41.0</v>
      </c>
      <c r="CB27" s="257">
        <v>45.0</v>
      </c>
      <c r="CC27" s="257">
        <v>42.0</v>
      </c>
      <c r="CD27" s="257">
        <v>40.0</v>
      </c>
      <c r="CE27" s="159">
        <f t="shared" si="25"/>
        <v>170</v>
      </c>
      <c r="CF27" s="257">
        <v>39.0</v>
      </c>
      <c r="CG27" s="257">
        <v>40.0</v>
      </c>
      <c r="CH27" s="257">
        <v>45.0</v>
      </c>
      <c r="CI27" s="257">
        <v>46.0</v>
      </c>
      <c r="CJ27" s="159">
        <f t="shared" si="26"/>
        <v>170</v>
      </c>
      <c r="CK27" s="257">
        <v>40.0</v>
      </c>
      <c r="CL27" s="257">
        <v>42.0</v>
      </c>
      <c r="CM27" s="257">
        <v>43.0</v>
      </c>
      <c r="CN27" s="257">
        <v>45.0</v>
      </c>
      <c r="CO27" s="158">
        <f t="shared" si="27"/>
        <v>567</v>
      </c>
      <c r="CP27" s="159">
        <f t="shared" si="28"/>
        <v>186</v>
      </c>
      <c r="CQ27" s="257">
        <v>45.0</v>
      </c>
      <c r="CR27" s="257">
        <v>46.0</v>
      </c>
      <c r="CS27" s="257">
        <v>47.0</v>
      </c>
      <c r="CT27" s="257">
        <v>48.0</v>
      </c>
      <c r="CU27" s="159">
        <f t="shared" si="29"/>
        <v>179</v>
      </c>
      <c r="CV27" s="257">
        <v>42.0</v>
      </c>
      <c r="CW27" s="257">
        <v>45.0</v>
      </c>
      <c r="CX27" s="257">
        <v>44.0</v>
      </c>
      <c r="CY27" s="257">
        <v>48.0</v>
      </c>
      <c r="CZ27" s="159">
        <f t="shared" si="30"/>
        <v>202</v>
      </c>
      <c r="DA27" s="257">
        <v>49.0</v>
      </c>
      <c r="DB27" s="257">
        <v>50.0</v>
      </c>
      <c r="DC27" s="257">
        <v>51.0</v>
      </c>
      <c r="DD27" s="257">
        <v>52.0</v>
      </c>
      <c r="DE27" s="157">
        <f t="shared" si="31"/>
        <v>1075</v>
      </c>
      <c r="DF27" s="158">
        <f t="shared" si="32"/>
        <v>567</v>
      </c>
      <c r="DG27" s="159">
        <f t="shared" si="33"/>
        <v>202</v>
      </c>
      <c r="DH27" s="257">
        <v>49.0</v>
      </c>
      <c r="DI27" s="257">
        <v>50.0</v>
      </c>
      <c r="DJ27" s="257">
        <v>51.0</v>
      </c>
      <c r="DK27" s="257">
        <v>52.0</v>
      </c>
      <c r="DL27" s="159">
        <f t="shared" si="34"/>
        <v>186</v>
      </c>
      <c r="DM27" s="257">
        <v>45.0</v>
      </c>
      <c r="DN27" s="257">
        <v>46.0</v>
      </c>
      <c r="DO27" s="257">
        <v>47.0</v>
      </c>
      <c r="DP27" s="257">
        <v>48.0</v>
      </c>
      <c r="DQ27" s="159">
        <f t="shared" si="35"/>
        <v>179</v>
      </c>
      <c r="DR27" s="257">
        <v>42.0</v>
      </c>
      <c r="DS27" s="257">
        <v>45.0</v>
      </c>
      <c r="DT27" s="257">
        <v>44.0</v>
      </c>
      <c r="DU27" s="257">
        <v>48.0</v>
      </c>
      <c r="DV27" s="158">
        <f t="shared" si="36"/>
        <v>508</v>
      </c>
      <c r="DW27" s="159">
        <f t="shared" si="37"/>
        <v>170</v>
      </c>
      <c r="DX27" s="257">
        <v>39.0</v>
      </c>
      <c r="DY27" s="257">
        <v>40.0</v>
      </c>
      <c r="DZ27" s="257">
        <v>45.0</v>
      </c>
      <c r="EA27" s="257">
        <v>46.0</v>
      </c>
      <c r="EB27" s="159">
        <f t="shared" si="38"/>
        <v>168</v>
      </c>
      <c r="EC27" s="257">
        <v>41.0</v>
      </c>
      <c r="ED27" s="257">
        <v>45.0</v>
      </c>
      <c r="EE27" s="257">
        <v>42.0</v>
      </c>
      <c r="EF27" s="257">
        <v>40.0</v>
      </c>
      <c r="EG27" s="159">
        <f t="shared" si="39"/>
        <v>170</v>
      </c>
      <c r="EH27" s="257">
        <v>40.0</v>
      </c>
      <c r="EI27" s="257">
        <v>42.0</v>
      </c>
      <c r="EJ27" s="257">
        <v>43.0</v>
      </c>
      <c r="EK27" s="257">
        <v>45.0</v>
      </c>
      <c r="EL27" s="156">
        <f t="shared" si="40"/>
        <v>2150</v>
      </c>
      <c r="EM27" s="157">
        <f t="shared" si="41"/>
        <v>1075</v>
      </c>
      <c r="EN27" s="158">
        <f t="shared" si="42"/>
        <v>508</v>
      </c>
      <c r="EO27" s="159">
        <f t="shared" si="43"/>
        <v>168</v>
      </c>
      <c r="EP27" s="257">
        <v>41.0</v>
      </c>
      <c r="EQ27" s="257">
        <v>45.0</v>
      </c>
      <c r="ER27" s="257">
        <v>42.0</v>
      </c>
      <c r="ES27" s="257">
        <v>40.0</v>
      </c>
      <c r="ET27" s="159">
        <f t="shared" si="44"/>
        <v>170</v>
      </c>
      <c r="EU27" s="257">
        <v>40.0</v>
      </c>
      <c r="EV27" s="257">
        <v>42.0</v>
      </c>
      <c r="EW27" s="257">
        <v>43.0</v>
      </c>
      <c r="EX27" s="257">
        <v>45.0</v>
      </c>
      <c r="EY27" s="159">
        <f t="shared" si="45"/>
        <v>170</v>
      </c>
      <c r="EZ27" s="257">
        <v>39.0</v>
      </c>
      <c r="FA27" s="257">
        <v>40.0</v>
      </c>
      <c r="FB27" s="257">
        <v>45.0</v>
      </c>
      <c r="FC27" s="257">
        <v>46.0</v>
      </c>
      <c r="FD27" s="158">
        <f t="shared" si="46"/>
        <v>567</v>
      </c>
      <c r="FE27" s="159">
        <f t="shared" si="47"/>
        <v>186</v>
      </c>
      <c r="FF27" s="257">
        <v>45.0</v>
      </c>
      <c r="FG27" s="257">
        <v>46.0</v>
      </c>
      <c r="FH27" s="257">
        <v>47.0</v>
      </c>
      <c r="FI27" s="257">
        <v>48.0</v>
      </c>
      <c r="FJ27" s="159">
        <f t="shared" si="48"/>
        <v>179</v>
      </c>
      <c r="FK27" s="257">
        <v>42.0</v>
      </c>
      <c r="FL27" s="257">
        <v>45.0</v>
      </c>
      <c r="FM27" s="257">
        <v>44.0</v>
      </c>
      <c r="FN27" s="257">
        <v>48.0</v>
      </c>
      <c r="FO27" s="159">
        <f t="shared" si="49"/>
        <v>202</v>
      </c>
      <c r="FP27" s="257">
        <v>49.0</v>
      </c>
      <c r="FQ27" s="257">
        <v>50.0</v>
      </c>
      <c r="FR27" s="257">
        <v>51.0</v>
      </c>
      <c r="FS27" s="257">
        <v>52.0</v>
      </c>
      <c r="FT27" s="157">
        <f t="shared" si="50"/>
        <v>1075</v>
      </c>
      <c r="FU27" s="158">
        <f t="shared" si="51"/>
        <v>567</v>
      </c>
      <c r="FV27" s="159">
        <f t="shared" si="52"/>
        <v>202</v>
      </c>
      <c r="FW27" s="257">
        <v>49.0</v>
      </c>
      <c r="FX27" s="257">
        <v>50.0</v>
      </c>
      <c r="FY27" s="257">
        <v>51.0</v>
      </c>
      <c r="FZ27" s="257">
        <v>52.0</v>
      </c>
      <c r="GA27" s="159">
        <f t="shared" si="53"/>
        <v>186</v>
      </c>
      <c r="GB27" s="257">
        <v>45.0</v>
      </c>
      <c r="GC27" s="257">
        <v>46.0</v>
      </c>
      <c r="GD27" s="257">
        <v>47.0</v>
      </c>
      <c r="GE27" s="257">
        <v>48.0</v>
      </c>
      <c r="GF27" s="159">
        <f t="shared" si="54"/>
        <v>179</v>
      </c>
      <c r="GG27" s="257">
        <v>42.0</v>
      </c>
      <c r="GH27" s="257">
        <v>45.0</v>
      </c>
      <c r="GI27" s="257">
        <v>44.0</v>
      </c>
      <c r="GJ27" s="257">
        <v>48.0</v>
      </c>
      <c r="GK27" s="158">
        <f t="shared" si="55"/>
        <v>508</v>
      </c>
      <c r="GL27" s="159">
        <f t="shared" si="56"/>
        <v>170</v>
      </c>
      <c r="GM27" s="257">
        <v>40.0</v>
      </c>
      <c r="GN27" s="257">
        <v>42.0</v>
      </c>
      <c r="GO27" s="257">
        <v>43.0</v>
      </c>
      <c r="GP27" s="257">
        <v>45.0</v>
      </c>
      <c r="GQ27" s="159">
        <f t="shared" si="57"/>
        <v>168</v>
      </c>
      <c r="GR27" s="257">
        <v>41.0</v>
      </c>
      <c r="GS27" s="257">
        <v>45.0</v>
      </c>
      <c r="GT27" s="257">
        <v>42.0</v>
      </c>
      <c r="GU27" s="257">
        <v>40.0</v>
      </c>
      <c r="GV27" s="159">
        <f t="shared" si="58"/>
        <v>170</v>
      </c>
      <c r="GW27" s="257">
        <v>39.0</v>
      </c>
      <c r="GX27" s="257">
        <v>40.0</v>
      </c>
      <c r="GY27" s="257">
        <v>45.0</v>
      </c>
      <c r="GZ27" s="257">
        <v>46.0</v>
      </c>
      <c r="HA27" s="251"/>
      <c r="HB27" s="251"/>
    </row>
    <row r="28" ht="15.75" customHeight="1">
      <c r="A28" s="13"/>
      <c r="B28" s="258" t="s">
        <v>101</v>
      </c>
      <c r="C28" s="259">
        <v>1.0</v>
      </c>
      <c r="D28" s="153" t="s">
        <v>109</v>
      </c>
      <c r="E28" s="154" t="s">
        <v>19</v>
      </c>
      <c r="F28" s="15"/>
      <c r="G28" s="155">
        <f t="shared" si="1"/>
        <v>1008000000</v>
      </c>
      <c r="H28" s="156">
        <f t="shared" si="2"/>
        <v>336000000</v>
      </c>
      <c r="I28" s="157">
        <f t="shared" si="3"/>
        <v>168000000</v>
      </c>
      <c r="J28" s="158">
        <f t="shared" si="4"/>
        <v>84000000</v>
      </c>
      <c r="K28" s="159">
        <f t="shared" si="5"/>
        <v>28000000</v>
      </c>
      <c r="L28" s="160">
        <v>7000000.0</v>
      </c>
      <c r="M28" s="160">
        <v>7000000.0</v>
      </c>
      <c r="N28" s="160">
        <v>7000000.0</v>
      </c>
      <c r="O28" s="160">
        <v>7000000.0</v>
      </c>
      <c r="P28" s="159">
        <f t="shared" si="6"/>
        <v>28000000</v>
      </c>
      <c r="Q28" s="160">
        <v>7000000.0</v>
      </c>
      <c r="R28" s="160">
        <v>7000000.0</v>
      </c>
      <c r="S28" s="160">
        <v>7000000.0</v>
      </c>
      <c r="T28" s="160">
        <v>7000000.0</v>
      </c>
      <c r="U28" s="159">
        <f t="shared" si="7"/>
        <v>28000000</v>
      </c>
      <c r="V28" s="160">
        <v>7000000.0</v>
      </c>
      <c r="W28" s="160">
        <v>7000000.0</v>
      </c>
      <c r="X28" s="160">
        <v>7000000.0</v>
      </c>
      <c r="Y28" s="160">
        <v>7000000.0</v>
      </c>
      <c r="Z28" s="158">
        <f t="shared" si="8"/>
        <v>84000000</v>
      </c>
      <c r="AA28" s="159">
        <f t="shared" si="9"/>
        <v>28000000</v>
      </c>
      <c r="AB28" s="160">
        <v>7000000.0</v>
      </c>
      <c r="AC28" s="160">
        <v>7000000.0</v>
      </c>
      <c r="AD28" s="160">
        <v>7000000.0</v>
      </c>
      <c r="AE28" s="160">
        <v>7000000.0</v>
      </c>
      <c r="AF28" s="159">
        <f t="shared" si="10"/>
        <v>28000000</v>
      </c>
      <c r="AG28" s="160">
        <v>7000000.0</v>
      </c>
      <c r="AH28" s="160">
        <v>7000000.0</v>
      </c>
      <c r="AI28" s="160">
        <v>7000000.0</v>
      </c>
      <c r="AJ28" s="160">
        <v>7000000.0</v>
      </c>
      <c r="AK28" s="159">
        <f t="shared" si="11"/>
        <v>28000000</v>
      </c>
      <c r="AL28" s="160">
        <v>7000000.0</v>
      </c>
      <c r="AM28" s="160">
        <v>7000000.0</v>
      </c>
      <c r="AN28" s="160">
        <v>7000000.0</v>
      </c>
      <c r="AO28" s="160">
        <v>7000000.0</v>
      </c>
      <c r="AP28" s="157">
        <f t="shared" si="12"/>
        <v>168000000</v>
      </c>
      <c r="AQ28" s="158">
        <f t="shared" si="13"/>
        <v>84000000</v>
      </c>
      <c r="AR28" s="159">
        <f t="shared" si="14"/>
        <v>28000000</v>
      </c>
      <c r="AS28" s="160">
        <v>7000000.0</v>
      </c>
      <c r="AT28" s="160">
        <v>7000000.0</v>
      </c>
      <c r="AU28" s="160">
        <v>7000000.0</v>
      </c>
      <c r="AV28" s="160">
        <v>7000000.0</v>
      </c>
      <c r="AW28" s="159">
        <f t="shared" si="15"/>
        <v>28000000</v>
      </c>
      <c r="AX28" s="160">
        <v>7000000.0</v>
      </c>
      <c r="AY28" s="160">
        <v>7000000.0</v>
      </c>
      <c r="AZ28" s="160">
        <v>7000000.0</v>
      </c>
      <c r="BA28" s="160">
        <v>7000000.0</v>
      </c>
      <c r="BB28" s="159">
        <f t="shared" si="16"/>
        <v>28000000</v>
      </c>
      <c r="BC28" s="160">
        <v>7000000.0</v>
      </c>
      <c r="BD28" s="160">
        <v>7000000.0</v>
      </c>
      <c r="BE28" s="160">
        <v>7000000.0</v>
      </c>
      <c r="BF28" s="160">
        <v>7000000.0</v>
      </c>
      <c r="BG28" s="158">
        <f t="shared" si="17"/>
        <v>84000000</v>
      </c>
      <c r="BH28" s="159">
        <f t="shared" si="18"/>
        <v>28000000</v>
      </c>
      <c r="BI28" s="160">
        <v>7000000.0</v>
      </c>
      <c r="BJ28" s="160">
        <v>7000000.0</v>
      </c>
      <c r="BK28" s="160">
        <v>7000000.0</v>
      </c>
      <c r="BL28" s="160">
        <v>7000000.0</v>
      </c>
      <c r="BM28" s="159">
        <f t="shared" si="19"/>
        <v>28000000</v>
      </c>
      <c r="BN28" s="160">
        <v>7000000.0</v>
      </c>
      <c r="BO28" s="160">
        <v>7000000.0</v>
      </c>
      <c r="BP28" s="160">
        <v>7000000.0</v>
      </c>
      <c r="BQ28" s="160">
        <v>7000000.0</v>
      </c>
      <c r="BR28" s="159">
        <f t="shared" si="20"/>
        <v>28000000</v>
      </c>
      <c r="BS28" s="160">
        <v>7000000.0</v>
      </c>
      <c r="BT28" s="160">
        <v>7000000.0</v>
      </c>
      <c r="BU28" s="160">
        <v>7000000.0</v>
      </c>
      <c r="BV28" s="160">
        <v>7000000.0</v>
      </c>
      <c r="BW28" s="156">
        <f t="shared" si="21"/>
        <v>336000000</v>
      </c>
      <c r="BX28" s="157">
        <f t="shared" si="22"/>
        <v>168000000</v>
      </c>
      <c r="BY28" s="158">
        <f t="shared" si="23"/>
        <v>84000000</v>
      </c>
      <c r="BZ28" s="159">
        <f t="shared" si="24"/>
        <v>28000000</v>
      </c>
      <c r="CA28" s="160">
        <v>7000000.0</v>
      </c>
      <c r="CB28" s="160">
        <v>7000000.0</v>
      </c>
      <c r="CC28" s="160">
        <v>7000000.0</v>
      </c>
      <c r="CD28" s="160">
        <v>7000000.0</v>
      </c>
      <c r="CE28" s="159">
        <f t="shared" si="25"/>
        <v>28000000</v>
      </c>
      <c r="CF28" s="160">
        <v>7000000.0</v>
      </c>
      <c r="CG28" s="160">
        <v>7000000.0</v>
      </c>
      <c r="CH28" s="160">
        <v>7000000.0</v>
      </c>
      <c r="CI28" s="160">
        <v>7000000.0</v>
      </c>
      <c r="CJ28" s="159">
        <f t="shared" si="26"/>
        <v>28000000</v>
      </c>
      <c r="CK28" s="160">
        <v>7000000.0</v>
      </c>
      <c r="CL28" s="160">
        <v>7000000.0</v>
      </c>
      <c r="CM28" s="160">
        <v>7000000.0</v>
      </c>
      <c r="CN28" s="160">
        <v>7000000.0</v>
      </c>
      <c r="CO28" s="158">
        <f t="shared" si="27"/>
        <v>84000000</v>
      </c>
      <c r="CP28" s="159">
        <f t="shared" si="28"/>
        <v>28000000</v>
      </c>
      <c r="CQ28" s="160">
        <v>7000000.0</v>
      </c>
      <c r="CR28" s="160">
        <v>7000000.0</v>
      </c>
      <c r="CS28" s="160">
        <v>7000000.0</v>
      </c>
      <c r="CT28" s="160">
        <v>7000000.0</v>
      </c>
      <c r="CU28" s="159">
        <f t="shared" si="29"/>
        <v>28000000</v>
      </c>
      <c r="CV28" s="160">
        <v>7000000.0</v>
      </c>
      <c r="CW28" s="160">
        <v>7000000.0</v>
      </c>
      <c r="CX28" s="160">
        <v>7000000.0</v>
      </c>
      <c r="CY28" s="160">
        <v>7000000.0</v>
      </c>
      <c r="CZ28" s="159">
        <f t="shared" si="30"/>
        <v>28000000</v>
      </c>
      <c r="DA28" s="160">
        <v>7000000.0</v>
      </c>
      <c r="DB28" s="160">
        <v>7000000.0</v>
      </c>
      <c r="DC28" s="160">
        <v>7000000.0</v>
      </c>
      <c r="DD28" s="160">
        <v>7000000.0</v>
      </c>
      <c r="DE28" s="157">
        <f t="shared" si="31"/>
        <v>168000000</v>
      </c>
      <c r="DF28" s="158">
        <f t="shared" si="32"/>
        <v>84000000</v>
      </c>
      <c r="DG28" s="159">
        <f t="shared" si="33"/>
        <v>28000000</v>
      </c>
      <c r="DH28" s="160">
        <v>7000000.0</v>
      </c>
      <c r="DI28" s="160">
        <v>7000000.0</v>
      </c>
      <c r="DJ28" s="160">
        <v>7000000.0</v>
      </c>
      <c r="DK28" s="160">
        <v>7000000.0</v>
      </c>
      <c r="DL28" s="159">
        <f t="shared" si="34"/>
        <v>28000000</v>
      </c>
      <c r="DM28" s="160">
        <v>7000000.0</v>
      </c>
      <c r="DN28" s="160">
        <v>7000000.0</v>
      </c>
      <c r="DO28" s="160">
        <v>7000000.0</v>
      </c>
      <c r="DP28" s="160">
        <v>7000000.0</v>
      </c>
      <c r="DQ28" s="159">
        <f t="shared" si="35"/>
        <v>28000000</v>
      </c>
      <c r="DR28" s="160">
        <v>7000000.0</v>
      </c>
      <c r="DS28" s="160">
        <v>7000000.0</v>
      </c>
      <c r="DT28" s="160">
        <v>7000000.0</v>
      </c>
      <c r="DU28" s="160">
        <v>7000000.0</v>
      </c>
      <c r="DV28" s="158">
        <f t="shared" si="36"/>
        <v>84000000</v>
      </c>
      <c r="DW28" s="159">
        <f t="shared" si="37"/>
        <v>28000000</v>
      </c>
      <c r="DX28" s="160">
        <v>7000000.0</v>
      </c>
      <c r="DY28" s="160">
        <v>7000000.0</v>
      </c>
      <c r="DZ28" s="160">
        <v>7000000.0</v>
      </c>
      <c r="EA28" s="160">
        <v>7000000.0</v>
      </c>
      <c r="EB28" s="159">
        <f t="shared" si="38"/>
        <v>28000000</v>
      </c>
      <c r="EC28" s="160">
        <v>7000000.0</v>
      </c>
      <c r="ED28" s="160">
        <v>7000000.0</v>
      </c>
      <c r="EE28" s="160">
        <v>7000000.0</v>
      </c>
      <c r="EF28" s="160">
        <v>7000000.0</v>
      </c>
      <c r="EG28" s="159">
        <f t="shared" si="39"/>
        <v>28000000</v>
      </c>
      <c r="EH28" s="160">
        <v>7000000.0</v>
      </c>
      <c r="EI28" s="160">
        <v>7000000.0</v>
      </c>
      <c r="EJ28" s="160">
        <v>7000000.0</v>
      </c>
      <c r="EK28" s="160">
        <v>7000000.0</v>
      </c>
      <c r="EL28" s="156">
        <f t="shared" si="40"/>
        <v>336000000</v>
      </c>
      <c r="EM28" s="157">
        <f t="shared" si="41"/>
        <v>168000000</v>
      </c>
      <c r="EN28" s="158">
        <f t="shared" si="42"/>
        <v>84000000</v>
      </c>
      <c r="EO28" s="159">
        <f t="shared" si="43"/>
        <v>28000000</v>
      </c>
      <c r="EP28" s="160">
        <v>7000000.0</v>
      </c>
      <c r="EQ28" s="160">
        <v>7000000.0</v>
      </c>
      <c r="ER28" s="160">
        <v>7000000.0</v>
      </c>
      <c r="ES28" s="160">
        <v>7000000.0</v>
      </c>
      <c r="ET28" s="159">
        <f t="shared" si="44"/>
        <v>28000000</v>
      </c>
      <c r="EU28" s="160">
        <v>7000000.0</v>
      </c>
      <c r="EV28" s="160">
        <v>7000000.0</v>
      </c>
      <c r="EW28" s="160">
        <v>7000000.0</v>
      </c>
      <c r="EX28" s="160">
        <v>7000000.0</v>
      </c>
      <c r="EY28" s="159">
        <f t="shared" si="45"/>
        <v>28000000</v>
      </c>
      <c r="EZ28" s="160">
        <v>7000000.0</v>
      </c>
      <c r="FA28" s="160">
        <v>7000000.0</v>
      </c>
      <c r="FB28" s="160">
        <v>7000000.0</v>
      </c>
      <c r="FC28" s="160">
        <v>7000000.0</v>
      </c>
      <c r="FD28" s="158">
        <f t="shared" si="46"/>
        <v>84000000</v>
      </c>
      <c r="FE28" s="159">
        <f t="shared" si="47"/>
        <v>28000000</v>
      </c>
      <c r="FF28" s="160">
        <v>7000000.0</v>
      </c>
      <c r="FG28" s="160">
        <v>7000000.0</v>
      </c>
      <c r="FH28" s="160">
        <v>7000000.0</v>
      </c>
      <c r="FI28" s="160">
        <v>7000000.0</v>
      </c>
      <c r="FJ28" s="159">
        <f t="shared" si="48"/>
        <v>28000000</v>
      </c>
      <c r="FK28" s="160">
        <v>7000000.0</v>
      </c>
      <c r="FL28" s="160">
        <v>7000000.0</v>
      </c>
      <c r="FM28" s="160">
        <v>7000000.0</v>
      </c>
      <c r="FN28" s="160">
        <v>7000000.0</v>
      </c>
      <c r="FO28" s="159">
        <f t="shared" si="49"/>
        <v>28000000</v>
      </c>
      <c r="FP28" s="160">
        <v>7000000.0</v>
      </c>
      <c r="FQ28" s="160">
        <v>7000000.0</v>
      </c>
      <c r="FR28" s="160">
        <v>7000000.0</v>
      </c>
      <c r="FS28" s="160">
        <v>7000000.0</v>
      </c>
      <c r="FT28" s="157">
        <f t="shared" si="50"/>
        <v>168000000</v>
      </c>
      <c r="FU28" s="158">
        <f t="shared" si="51"/>
        <v>84000000</v>
      </c>
      <c r="FV28" s="159">
        <f t="shared" si="52"/>
        <v>28000000</v>
      </c>
      <c r="FW28" s="160">
        <v>7000000.0</v>
      </c>
      <c r="FX28" s="160">
        <v>7000000.0</v>
      </c>
      <c r="FY28" s="160">
        <v>7000000.0</v>
      </c>
      <c r="FZ28" s="160">
        <v>7000000.0</v>
      </c>
      <c r="GA28" s="159">
        <f t="shared" si="53"/>
        <v>28000000</v>
      </c>
      <c r="GB28" s="160">
        <v>7000000.0</v>
      </c>
      <c r="GC28" s="160">
        <v>7000000.0</v>
      </c>
      <c r="GD28" s="160">
        <v>7000000.0</v>
      </c>
      <c r="GE28" s="160">
        <v>7000000.0</v>
      </c>
      <c r="GF28" s="159">
        <f t="shared" si="54"/>
        <v>28000000</v>
      </c>
      <c r="GG28" s="160">
        <v>7000000.0</v>
      </c>
      <c r="GH28" s="160">
        <v>7000000.0</v>
      </c>
      <c r="GI28" s="160">
        <v>7000000.0</v>
      </c>
      <c r="GJ28" s="160">
        <v>7000000.0</v>
      </c>
      <c r="GK28" s="158">
        <f t="shared" si="55"/>
        <v>84000000</v>
      </c>
      <c r="GL28" s="159">
        <f t="shared" si="56"/>
        <v>28000000</v>
      </c>
      <c r="GM28" s="160">
        <v>7000000.0</v>
      </c>
      <c r="GN28" s="160">
        <v>7000000.0</v>
      </c>
      <c r="GO28" s="160">
        <v>7000000.0</v>
      </c>
      <c r="GP28" s="160">
        <v>7000000.0</v>
      </c>
      <c r="GQ28" s="159">
        <f t="shared" si="57"/>
        <v>28000000</v>
      </c>
      <c r="GR28" s="160">
        <v>7000000.0</v>
      </c>
      <c r="GS28" s="160">
        <v>7000000.0</v>
      </c>
      <c r="GT28" s="160">
        <v>7000000.0</v>
      </c>
      <c r="GU28" s="160">
        <v>7000000.0</v>
      </c>
      <c r="GV28" s="159">
        <f t="shared" si="58"/>
        <v>28000000</v>
      </c>
      <c r="GW28" s="160">
        <v>7000000.0</v>
      </c>
      <c r="GX28" s="160">
        <v>7000000.0</v>
      </c>
      <c r="GY28" s="160">
        <v>7000000.0</v>
      </c>
      <c r="GZ28" s="160">
        <v>7000000.0</v>
      </c>
      <c r="HA28" s="15"/>
      <c r="HB28" s="15"/>
    </row>
    <row r="29" ht="15.75" customHeight="1">
      <c r="A29" s="13"/>
      <c r="B29" s="82"/>
      <c r="C29" s="78"/>
      <c r="D29" s="78"/>
      <c r="E29" s="154" t="s">
        <v>26</v>
      </c>
      <c r="F29" s="15"/>
      <c r="G29" s="155">
        <f t="shared" si="1"/>
        <v>926400000</v>
      </c>
      <c r="H29" s="156">
        <f t="shared" si="2"/>
        <v>308800000</v>
      </c>
      <c r="I29" s="157">
        <f t="shared" si="3"/>
        <v>154400000</v>
      </c>
      <c r="J29" s="158">
        <f t="shared" si="4"/>
        <v>82000000</v>
      </c>
      <c r="K29" s="159">
        <f t="shared" si="5"/>
        <v>26800000</v>
      </c>
      <c r="L29" s="193">
        <v>6500000.0</v>
      </c>
      <c r="M29" s="193">
        <v>6700000.0</v>
      </c>
      <c r="N29" s="193">
        <v>6600000.0</v>
      </c>
      <c r="O29" s="193">
        <v>7000000.0</v>
      </c>
      <c r="P29" s="159">
        <f t="shared" si="6"/>
        <v>27150000</v>
      </c>
      <c r="Q29" s="193">
        <v>6600000.0</v>
      </c>
      <c r="R29" s="193">
        <v>6800000.0</v>
      </c>
      <c r="S29" s="193">
        <v>6850000.0</v>
      </c>
      <c r="T29" s="193">
        <v>6900000.0</v>
      </c>
      <c r="U29" s="159">
        <f t="shared" si="7"/>
        <v>28050000</v>
      </c>
      <c r="V29" s="193">
        <v>7000000.0</v>
      </c>
      <c r="W29" s="193">
        <v>6900000.0</v>
      </c>
      <c r="X29" s="193">
        <v>7050000.0</v>
      </c>
      <c r="Y29" s="193">
        <v>7100000.0</v>
      </c>
      <c r="Z29" s="158">
        <f t="shared" si="8"/>
        <v>72400000</v>
      </c>
      <c r="AA29" s="159">
        <f t="shared" si="9"/>
        <v>23800000</v>
      </c>
      <c r="AB29" s="193">
        <v>6000000.0</v>
      </c>
      <c r="AC29" s="193">
        <v>5900000.0</v>
      </c>
      <c r="AD29" s="193">
        <v>5800000.0</v>
      </c>
      <c r="AE29" s="193">
        <v>6100000.0</v>
      </c>
      <c r="AF29" s="159">
        <f t="shared" si="10"/>
        <v>24900000</v>
      </c>
      <c r="AG29" s="193">
        <v>6200000.0</v>
      </c>
      <c r="AH29" s="193">
        <v>6150000.0</v>
      </c>
      <c r="AI29" s="193">
        <v>6250000.0</v>
      </c>
      <c r="AJ29" s="193">
        <v>6300000.0</v>
      </c>
      <c r="AK29" s="159">
        <f t="shared" si="11"/>
        <v>23700000</v>
      </c>
      <c r="AL29" s="193">
        <v>5950000.0</v>
      </c>
      <c r="AM29" s="193">
        <v>5850000.0</v>
      </c>
      <c r="AN29" s="193">
        <v>5800000.0</v>
      </c>
      <c r="AO29" s="193">
        <v>6100000.0</v>
      </c>
      <c r="AP29" s="157">
        <f t="shared" si="12"/>
        <v>154400000</v>
      </c>
      <c r="AQ29" s="158">
        <f t="shared" si="13"/>
        <v>72400000</v>
      </c>
      <c r="AR29" s="159">
        <f t="shared" si="14"/>
        <v>23700000</v>
      </c>
      <c r="AS29" s="193">
        <v>5950000.0</v>
      </c>
      <c r="AT29" s="193">
        <v>5850000.0</v>
      </c>
      <c r="AU29" s="193">
        <v>5800000.0</v>
      </c>
      <c r="AV29" s="193">
        <v>6100000.0</v>
      </c>
      <c r="AW29" s="159">
        <f t="shared" si="15"/>
        <v>23800000</v>
      </c>
      <c r="AX29" s="193">
        <v>6000000.0</v>
      </c>
      <c r="AY29" s="193">
        <v>5900000.0</v>
      </c>
      <c r="AZ29" s="193">
        <v>5800000.0</v>
      </c>
      <c r="BA29" s="193">
        <v>6100000.0</v>
      </c>
      <c r="BB29" s="159">
        <f t="shared" si="16"/>
        <v>24900000</v>
      </c>
      <c r="BC29" s="193">
        <v>6200000.0</v>
      </c>
      <c r="BD29" s="193">
        <v>6150000.0</v>
      </c>
      <c r="BE29" s="193">
        <v>6250000.0</v>
      </c>
      <c r="BF29" s="193">
        <v>6300000.0</v>
      </c>
      <c r="BG29" s="158">
        <f t="shared" si="17"/>
        <v>82000000</v>
      </c>
      <c r="BH29" s="159">
        <f t="shared" si="18"/>
        <v>27150000</v>
      </c>
      <c r="BI29" s="193">
        <v>6600000.0</v>
      </c>
      <c r="BJ29" s="193">
        <v>6800000.0</v>
      </c>
      <c r="BK29" s="193">
        <v>6850000.0</v>
      </c>
      <c r="BL29" s="193">
        <v>6900000.0</v>
      </c>
      <c r="BM29" s="159">
        <f t="shared" si="19"/>
        <v>28050000</v>
      </c>
      <c r="BN29" s="193">
        <v>7000000.0</v>
      </c>
      <c r="BO29" s="193">
        <v>6900000.0</v>
      </c>
      <c r="BP29" s="193">
        <v>7050000.0</v>
      </c>
      <c r="BQ29" s="193">
        <v>7100000.0</v>
      </c>
      <c r="BR29" s="159">
        <f t="shared" si="20"/>
        <v>26800000</v>
      </c>
      <c r="BS29" s="193">
        <v>6500000.0</v>
      </c>
      <c r="BT29" s="193">
        <v>6700000.0</v>
      </c>
      <c r="BU29" s="193">
        <v>6600000.0</v>
      </c>
      <c r="BV29" s="193">
        <v>7000000.0</v>
      </c>
      <c r="BW29" s="156">
        <f t="shared" si="21"/>
        <v>308800000</v>
      </c>
      <c r="BX29" s="157">
        <f t="shared" si="22"/>
        <v>154400000</v>
      </c>
      <c r="BY29" s="158">
        <f t="shared" si="23"/>
        <v>72400000</v>
      </c>
      <c r="BZ29" s="159">
        <f t="shared" si="24"/>
        <v>24900000</v>
      </c>
      <c r="CA29" s="193">
        <v>6200000.0</v>
      </c>
      <c r="CB29" s="193">
        <v>6150000.0</v>
      </c>
      <c r="CC29" s="193">
        <v>6250000.0</v>
      </c>
      <c r="CD29" s="193">
        <v>6300000.0</v>
      </c>
      <c r="CE29" s="159">
        <f t="shared" si="25"/>
        <v>23700000</v>
      </c>
      <c r="CF29" s="193">
        <v>5950000.0</v>
      </c>
      <c r="CG29" s="193">
        <v>5850000.0</v>
      </c>
      <c r="CH29" s="193">
        <v>5800000.0</v>
      </c>
      <c r="CI29" s="193">
        <v>6100000.0</v>
      </c>
      <c r="CJ29" s="159">
        <f t="shared" si="26"/>
        <v>23800000</v>
      </c>
      <c r="CK29" s="193">
        <v>6000000.0</v>
      </c>
      <c r="CL29" s="193">
        <v>5900000.0</v>
      </c>
      <c r="CM29" s="193">
        <v>5800000.0</v>
      </c>
      <c r="CN29" s="193">
        <v>6100000.0</v>
      </c>
      <c r="CO29" s="158">
        <f t="shared" si="27"/>
        <v>82000000</v>
      </c>
      <c r="CP29" s="159">
        <f t="shared" si="28"/>
        <v>26800000</v>
      </c>
      <c r="CQ29" s="193">
        <v>6500000.0</v>
      </c>
      <c r="CR29" s="193">
        <v>6700000.0</v>
      </c>
      <c r="CS29" s="193">
        <v>6600000.0</v>
      </c>
      <c r="CT29" s="193">
        <v>7000000.0</v>
      </c>
      <c r="CU29" s="159">
        <f t="shared" si="29"/>
        <v>27150000</v>
      </c>
      <c r="CV29" s="193">
        <v>6600000.0</v>
      </c>
      <c r="CW29" s="193">
        <v>6800000.0</v>
      </c>
      <c r="CX29" s="193">
        <v>6850000.0</v>
      </c>
      <c r="CY29" s="193">
        <v>6900000.0</v>
      </c>
      <c r="CZ29" s="159">
        <f t="shared" si="30"/>
        <v>28050000</v>
      </c>
      <c r="DA29" s="193">
        <v>7000000.0</v>
      </c>
      <c r="DB29" s="193">
        <v>6900000.0</v>
      </c>
      <c r="DC29" s="193">
        <v>7050000.0</v>
      </c>
      <c r="DD29" s="193">
        <v>7100000.0</v>
      </c>
      <c r="DE29" s="157">
        <f t="shared" si="31"/>
        <v>154400000</v>
      </c>
      <c r="DF29" s="158">
        <f t="shared" si="32"/>
        <v>82000000</v>
      </c>
      <c r="DG29" s="159">
        <f t="shared" si="33"/>
        <v>28050000</v>
      </c>
      <c r="DH29" s="193">
        <v>7000000.0</v>
      </c>
      <c r="DI29" s="193">
        <v>6900000.0</v>
      </c>
      <c r="DJ29" s="193">
        <v>7050000.0</v>
      </c>
      <c r="DK29" s="193">
        <v>7100000.0</v>
      </c>
      <c r="DL29" s="159">
        <f t="shared" si="34"/>
        <v>26800000</v>
      </c>
      <c r="DM29" s="193">
        <v>6500000.0</v>
      </c>
      <c r="DN29" s="193">
        <v>6700000.0</v>
      </c>
      <c r="DO29" s="193">
        <v>6600000.0</v>
      </c>
      <c r="DP29" s="193">
        <v>7000000.0</v>
      </c>
      <c r="DQ29" s="159">
        <f t="shared" si="35"/>
        <v>27150000</v>
      </c>
      <c r="DR29" s="193">
        <v>6600000.0</v>
      </c>
      <c r="DS29" s="193">
        <v>6800000.0</v>
      </c>
      <c r="DT29" s="193">
        <v>6850000.0</v>
      </c>
      <c r="DU29" s="193">
        <v>6900000.0</v>
      </c>
      <c r="DV29" s="158">
        <f t="shared" si="36"/>
        <v>72400000</v>
      </c>
      <c r="DW29" s="159">
        <f t="shared" si="37"/>
        <v>23700000</v>
      </c>
      <c r="DX29" s="193">
        <v>5950000.0</v>
      </c>
      <c r="DY29" s="193">
        <v>5850000.0</v>
      </c>
      <c r="DZ29" s="193">
        <v>5800000.0</v>
      </c>
      <c r="EA29" s="193">
        <v>6100000.0</v>
      </c>
      <c r="EB29" s="159">
        <f t="shared" si="38"/>
        <v>24900000</v>
      </c>
      <c r="EC29" s="193">
        <v>6200000.0</v>
      </c>
      <c r="ED29" s="193">
        <v>6150000.0</v>
      </c>
      <c r="EE29" s="193">
        <v>6250000.0</v>
      </c>
      <c r="EF29" s="193">
        <v>6300000.0</v>
      </c>
      <c r="EG29" s="159">
        <f t="shared" si="39"/>
        <v>23800000</v>
      </c>
      <c r="EH29" s="193">
        <v>6000000.0</v>
      </c>
      <c r="EI29" s="193">
        <v>5900000.0</v>
      </c>
      <c r="EJ29" s="193">
        <v>5800000.0</v>
      </c>
      <c r="EK29" s="193">
        <v>6100000.0</v>
      </c>
      <c r="EL29" s="156">
        <f t="shared" si="40"/>
        <v>308800000</v>
      </c>
      <c r="EM29" s="157">
        <f t="shared" si="41"/>
        <v>154400000</v>
      </c>
      <c r="EN29" s="158">
        <f t="shared" si="42"/>
        <v>72400000</v>
      </c>
      <c r="EO29" s="159">
        <f t="shared" si="43"/>
        <v>24900000</v>
      </c>
      <c r="EP29" s="193">
        <v>6200000.0</v>
      </c>
      <c r="EQ29" s="193">
        <v>6150000.0</v>
      </c>
      <c r="ER29" s="193">
        <v>6250000.0</v>
      </c>
      <c r="ES29" s="193">
        <v>6300000.0</v>
      </c>
      <c r="ET29" s="159">
        <f t="shared" si="44"/>
        <v>23800000</v>
      </c>
      <c r="EU29" s="193">
        <v>6000000.0</v>
      </c>
      <c r="EV29" s="193">
        <v>5900000.0</v>
      </c>
      <c r="EW29" s="193">
        <v>5800000.0</v>
      </c>
      <c r="EX29" s="193">
        <v>6100000.0</v>
      </c>
      <c r="EY29" s="159">
        <f t="shared" si="45"/>
        <v>23700000</v>
      </c>
      <c r="EZ29" s="193">
        <v>5950000.0</v>
      </c>
      <c r="FA29" s="193">
        <v>5850000.0</v>
      </c>
      <c r="FB29" s="193">
        <v>5800000.0</v>
      </c>
      <c r="FC29" s="193">
        <v>6100000.0</v>
      </c>
      <c r="FD29" s="158">
        <f t="shared" si="46"/>
        <v>82000000</v>
      </c>
      <c r="FE29" s="159">
        <f t="shared" si="47"/>
        <v>26800000</v>
      </c>
      <c r="FF29" s="193">
        <v>6500000.0</v>
      </c>
      <c r="FG29" s="193">
        <v>6700000.0</v>
      </c>
      <c r="FH29" s="193">
        <v>6600000.0</v>
      </c>
      <c r="FI29" s="193">
        <v>7000000.0</v>
      </c>
      <c r="FJ29" s="159">
        <f t="shared" si="48"/>
        <v>27150000</v>
      </c>
      <c r="FK29" s="193">
        <v>6600000.0</v>
      </c>
      <c r="FL29" s="193">
        <v>6800000.0</v>
      </c>
      <c r="FM29" s="193">
        <v>6850000.0</v>
      </c>
      <c r="FN29" s="193">
        <v>6900000.0</v>
      </c>
      <c r="FO29" s="159">
        <f t="shared" si="49"/>
        <v>28050000</v>
      </c>
      <c r="FP29" s="193">
        <v>7000000.0</v>
      </c>
      <c r="FQ29" s="193">
        <v>6900000.0</v>
      </c>
      <c r="FR29" s="193">
        <v>7050000.0</v>
      </c>
      <c r="FS29" s="193">
        <v>7100000.0</v>
      </c>
      <c r="FT29" s="157">
        <f t="shared" si="50"/>
        <v>154400000</v>
      </c>
      <c r="FU29" s="158">
        <f t="shared" si="51"/>
        <v>82000000</v>
      </c>
      <c r="FV29" s="159">
        <f t="shared" si="52"/>
        <v>28050000</v>
      </c>
      <c r="FW29" s="193">
        <v>7000000.0</v>
      </c>
      <c r="FX29" s="193">
        <v>6900000.0</v>
      </c>
      <c r="FY29" s="193">
        <v>7050000.0</v>
      </c>
      <c r="FZ29" s="193">
        <v>7100000.0</v>
      </c>
      <c r="GA29" s="159">
        <f t="shared" si="53"/>
        <v>26800000</v>
      </c>
      <c r="GB29" s="193">
        <v>6500000.0</v>
      </c>
      <c r="GC29" s="193">
        <v>6700000.0</v>
      </c>
      <c r="GD29" s="193">
        <v>6600000.0</v>
      </c>
      <c r="GE29" s="193">
        <v>7000000.0</v>
      </c>
      <c r="GF29" s="159">
        <f t="shared" si="54"/>
        <v>27150000</v>
      </c>
      <c r="GG29" s="193">
        <v>6600000.0</v>
      </c>
      <c r="GH29" s="193">
        <v>6800000.0</v>
      </c>
      <c r="GI29" s="193">
        <v>6850000.0</v>
      </c>
      <c r="GJ29" s="193">
        <v>6900000.0</v>
      </c>
      <c r="GK29" s="158">
        <f t="shared" si="55"/>
        <v>72400000</v>
      </c>
      <c r="GL29" s="159">
        <f t="shared" si="56"/>
        <v>23800000</v>
      </c>
      <c r="GM29" s="193">
        <v>6000000.0</v>
      </c>
      <c r="GN29" s="193">
        <v>5900000.0</v>
      </c>
      <c r="GO29" s="193">
        <v>5800000.0</v>
      </c>
      <c r="GP29" s="193">
        <v>6100000.0</v>
      </c>
      <c r="GQ29" s="159">
        <f t="shared" si="57"/>
        <v>24900000</v>
      </c>
      <c r="GR29" s="193">
        <v>6200000.0</v>
      </c>
      <c r="GS29" s="193">
        <v>6150000.0</v>
      </c>
      <c r="GT29" s="193">
        <v>6250000.0</v>
      </c>
      <c r="GU29" s="193">
        <v>6300000.0</v>
      </c>
      <c r="GV29" s="159">
        <f t="shared" si="58"/>
        <v>23700000</v>
      </c>
      <c r="GW29" s="193">
        <v>5950000.0</v>
      </c>
      <c r="GX29" s="193">
        <v>5850000.0</v>
      </c>
      <c r="GY29" s="193">
        <v>5800000.0</v>
      </c>
      <c r="GZ29" s="193">
        <v>6100000.0</v>
      </c>
      <c r="HA29" s="15"/>
      <c r="HB29" s="15"/>
    </row>
    <row r="30" ht="15.75" customHeight="1">
      <c r="A30" s="13"/>
      <c r="B30" s="82"/>
      <c r="C30" s="259">
        <v>2.0</v>
      </c>
      <c r="D30" s="153" t="s">
        <v>145</v>
      </c>
      <c r="E30" s="154" t="s">
        <v>19</v>
      </c>
      <c r="F30" s="15"/>
      <c r="G30" s="155">
        <f t="shared" si="1"/>
        <v>201600000</v>
      </c>
      <c r="H30" s="156">
        <f t="shared" si="2"/>
        <v>67200000</v>
      </c>
      <c r="I30" s="157">
        <f t="shared" si="3"/>
        <v>33600000</v>
      </c>
      <c r="J30" s="158">
        <f t="shared" si="4"/>
        <v>16800000</v>
      </c>
      <c r="K30" s="159">
        <f t="shared" si="5"/>
        <v>5600000</v>
      </c>
      <c r="L30" s="160">
        <v>1400000.0</v>
      </c>
      <c r="M30" s="160">
        <v>1400000.0</v>
      </c>
      <c r="N30" s="160">
        <v>1400000.0</v>
      </c>
      <c r="O30" s="160">
        <v>1400000.0</v>
      </c>
      <c r="P30" s="159">
        <f t="shared" si="6"/>
        <v>5600000</v>
      </c>
      <c r="Q30" s="160">
        <v>1400000.0</v>
      </c>
      <c r="R30" s="160">
        <v>1400000.0</v>
      </c>
      <c r="S30" s="160">
        <v>1400000.0</v>
      </c>
      <c r="T30" s="160">
        <v>1400000.0</v>
      </c>
      <c r="U30" s="159">
        <f t="shared" si="7"/>
        <v>5600000</v>
      </c>
      <c r="V30" s="160">
        <v>1400000.0</v>
      </c>
      <c r="W30" s="160">
        <v>1400000.0</v>
      </c>
      <c r="X30" s="160">
        <v>1400000.0</v>
      </c>
      <c r="Y30" s="160">
        <v>1400000.0</v>
      </c>
      <c r="Z30" s="158">
        <f t="shared" si="8"/>
        <v>16800000</v>
      </c>
      <c r="AA30" s="159">
        <f t="shared" si="9"/>
        <v>5600000</v>
      </c>
      <c r="AB30" s="160">
        <v>1400000.0</v>
      </c>
      <c r="AC30" s="160">
        <v>1400000.0</v>
      </c>
      <c r="AD30" s="160">
        <v>1400000.0</v>
      </c>
      <c r="AE30" s="160">
        <v>1400000.0</v>
      </c>
      <c r="AF30" s="159">
        <f t="shared" si="10"/>
        <v>5600000</v>
      </c>
      <c r="AG30" s="160">
        <v>1400000.0</v>
      </c>
      <c r="AH30" s="160">
        <v>1400000.0</v>
      </c>
      <c r="AI30" s="160">
        <v>1400000.0</v>
      </c>
      <c r="AJ30" s="160">
        <v>1400000.0</v>
      </c>
      <c r="AK30" s="159">
        <f t="shared" si="11"/>
        <v>5600000</v>
      </c>
      <c r="AL30" s="160">
        <v>1400000.0</v>
      </c>
      <c r="AM30" s="160">
        <v>1400000.0</v>
      </c>
      <c r="AN30" s="160">
        <v>1400000.0</v>
      </c>
      <c r="AO30" s="160">
        <v>1400000.0</v>
      </c>
      <c r="AP30" s="157">
        <f t="shared" si="12"/>
        <v>33600000</v>
      </c>
      <c r="AQ30" s="158">
        <f t="shared" si="13"/>
        <v>16800000</v>
      </c>
      <c r="AR30" s="159">
        <f t="shared" si="14"/>
        <v>5600000</v>
      </c>
      <c r="AS30" s="160">
        <v>1400000.0</v>
      </c>
      <c r="AT30" s="160">
        <v>1400000.0</v>
      </c>
      <c r="AU30" s="160">
        <v>1400000.0</v>
      </c>
      <c r="AV30" s="160">
        <v>1400000.0</v>
      </c>
      <c r="AW30" s="159">
        <f t="shared" si="15"/>
        <v>5600000</v>
      </c>
      <c r="AX30" s="160">
        <v>1400000.0</v>
      </c>
      <c r="AY30" s="160">
        <v>1400000.0</v>
      </c>
      <c r="AZ30" s="160">
        <v>1400000.0</v>
      </c>
      <c r="BA30" s="160">
        <v>1400000.0</v>
      </c>
      <c r="BB30" s="159">
        <f t="shared" si="16"/>
        <v>5600000</v>
      </c>
      <c r="BC30" s="160">
        <v>1400000.0</v>
      </c>
      <c r="BD30" s="160">
        <v>1400000.0</v>
      </c>
      <c r="BE30" s="160">
        <v>1400000.0</v>
      </c>
      <c r="BF30" s="160">
        <v>1400000.0</v>
      </c>
      <c r="BG30" s="158">
        <f t="shared" si="17"/>
        <v>16800000</v>
      </c>
      <c r="BH30" s="159">
        <f t="shared" si="18"/>
        <v>5600000</v>
      </c>
      <c r="BI30" s="160">
        <v>1400000.0</v>
      </c>
      <c r="BJ30" s="160">
        <v>1400000.0</v>
      </c>
      <c r="BK30" s="160">
        <v>1400000.0</v>
      </c>
      <c r="BL30" s="160">
        <v>1400000.0</v>
      </c>
      <c r="BM30" s="159">
        <f t="shared" si="19"/>
        <v>5600000</v>
      </c>
      <c r="BN30" s="160">
        <v>1400000.0</v>
      </c>
      <c r="BO30" s="160">
        <v>1400000.0</v>
      </c>
      <c r="BP30" s="160">
        <v>1400000.0</v>
      </c>
      <c r="BQ30" s="160">
        <v>1400000.0</v>
      </c>
      <c r="BR30" s="159">
        <f t="shared" si="20"/>
        <v>5600000</v>
      </c>
      <c r="BS30" s="160">
        <v>1400000.0</v>
      </c>
      <c r="BT30" s="160">
        <v>1400000.0</v>
      </c>
      <c r="BU30" s="160">
        <v>1400000.0</v>
      </c>
      <c r="BV30" s="160">
        <v>1400000.0</v>
      </c>
      <c r="BW30" s="156">
        <f t="shared" si="21"/>
        <v>67200000</v>
      </c>
      <c r="BX30" s="157">
        <f t="shared" si="22"/>
        <v>33600000</v>
      </c>
      <c r="BY30" s="158">
        <f t="shared" si="23"/>
        <v>16800000</v>
      </c>
      <c r="BZ30" s="159">
        <f t="shared" si="24"/>
        <v>5600000</v>
      </c>
      <c r="CA30" s="160">
        <v>1400000.0</v>
      </c>
      <c r="CB30" s="160">
        <v>1400000.0</v>
      </c>
      <c r="CC30" s="160">
        <v>1400000.0</v>
      </c>
      <c r="CD30" s="160">
        <v>1400000.0</v>
      </c>
      <c r="CE30" s="159">
        <f t="shared" si="25"/>
        <v>5600000</v>
      </c>
      <c r="CF30" s="160">
        <v>1400000.0</v>
      </c>
      <c r="CG30" s="160">
        <v>1400000.0</v>
      </c>
      <c r="CH30" s="160">
        <v>1400000.0</v>
      </c>
      <c r="CI30" s="160">
        <v>1400000.0</v>
      </c>
      <c r="CJ30" s="159">
        <f t="shared" si="26"/>
        <v>5600000</v>
      </c>
      <c r="CK30" s="160">
        <v>1400000.0</v>
      </c>
      <c r="CL30" s="160">
        <v>1400000.0</v>
      </c>
      <c r="CM30" s="160">
        <v>1400000.0</v>
      </c>
      <c r="CN30" s="160">
        <v>1400000.0</v>
      </c>
      <c r="CO30" s="158">
        <f t="shared" si="27"/>
        <v>16800000</v>
      </c>
      <c r="CP30" s="159">
        <f t="shared" si="28"/>
        <v>5600000</v>
      </c>
      <c r="CQ30" s="160">
        <v>1400000.0</v>
      </c>
      <c r="CR30" s="160">
        <v>1400000.0</v>
      </c>
      <c r="CS30" s="160">
        <v>1400000.0</v>
      </c>
      <c r="CT30" s="160">
        <v>1400000.0</v>
      </c>
      <c r="CU30" s="159">
        <f t="shared" si="29"/>
        <v>5600000</v>
      </c>
      <c r="CV30" s="160">
        <v>1400000.0</v>
      </c>
      <c r="CW30" s="160">
        <v>1400000.0</v>
      </c>
      <c r="CX30" s="160">
        <v>1400000.0</v>
      </c>
      <c r="CY30" s="160">
        <v>1400000.0</v>
      </c>
      <c r="CZ30" s="159">
        <f t="shared" si="30"/>
        <v>5600000</v>
      </c>
      <c r="DA30" s="160">
        <v>1400000.0</v>
      </c>
      <c r="DB30" s="160">
        <v>1400000.0</v>
      </c>
      <c r="DC30" s="160">
        <v>1400000.0</v>
      </c>
      <c r="DD30" s="160">
        <v>1400000.0</v>
      </c>
      <c r="DE30" s="157">
        <f t="shared" si="31"/>
        <v>33600000</v>
      </c>
      <c r="DF30" s="158">
        <f t="shared" si="32"/>
        <v>16800000</v>
      </c>
      <c r="DG30" s="159">
        <f t="shared" si="33"/>
        <v>5600000</v>
      </c>
      <c r="DH30" s="160">
        <v>1400000.0</v>
      </c>
      <c r="DI30" s="160">
        <v>1400000.0</v>
      </c>
      <c r="DJ30" s="160">
        <v>1400000.0</v>
      </c>
      <c r="DK30" s="160">
        <v>1400000.0</v>
      </c>
      <c r="DL30" s="159">
        <f t="shared" si="34"/>
        <v>5600000</v>
      </c>
      <c r="DM30" s="160">
        <v>1400000.0</v>
      </c>
      <c r="DN30" s="160">
        <v>1400000.0</v>
      </c>
      <c r="DO30" s="160">
        <v>1400000.0</v>
      </c>
      <c r="DP30" s="160">
        <v>1400000.0</v>
      </c>
      <c r="DQ30" s="159">
        <f t="shared" si="35"/>
        <v>5600000</v>
      </c>
      <c r="DR30" s="160">
        <v>1400000.0</v>
      </c>
      <c r="DS30" s="160">
        <v>1400000.0</v>
      </c>
      <c r="DT30" s="160">
        <v>1400000.0</v>
      </c>
      <c r="DU30" s="160">
        <v>1400000.0</v>
      </c>
      <c r="DV30" s="158">
        <f t="shared" si="36"/>
        <v>16800000</v>
      </c>
      <c r="DW30" s="159">
        <f t="shared" si="37"/>
        <v>5600000</v>
      </c>
      <c r="DX30" s="160">
        <v>1400000.0</v>
      </c>
      <c r="DY30" s="160">
        <v>1400000.0</v>
      </c>
      <c r="DZ30" s="160">
        <v>1400000.0</v>
      </c>
      <c r="EA30" s="160">
        <v>1400000.0</v>
      </c>
      <c r="EB30" s="159">
        <f t="shared" si="38"/>
        <v>5600000</v>
      </c>
      <c r="EC30" s="160">
        <v>1400000.0</v>
      </c>
      <c r="ED30" s="160">
        <v>1400000.0</v>
      </c>
      <c r="EE30" s="160">
        <v>1400000.0</v>
      </c>
      <c r="EF30" s="160">
        <v>1400000.0</v>
      </c>
      <c r="EG30" s="159">
        <f t="shared" si="39"/>
        <v>5600000</v>
      </c>
      <c r="EH30" s="160">
        <v>1400000.0</v>
      </c>
      <c r="EI30" s="160">
        <v>1400000.0</v>
      </c>
      <c r="EJ30" s="160">
        <v>1400000.0</v>
      </c>
      <c r="EK30" s="160">
        <v>1400000.0</v>
      </c>
      <c r="EL30" s="156">
        <f t="shared" si="40"/>
        <v>67200000</v>
      </c>
      <c r="EM30" s="157">
        <f t="shared" si="41"/>
        <v>33600000</v>
      </c>
      <c r="EN30" s="158">
        <f t="shared" si="42"/>
        <v>16800000</v>
      </c>
      <c r="EO30" s="159">
        <f t="shared" si="43"/>
        <v>5600000</v>
      </c>
      <c r="EP30" s="160">
        <v>1400000.0</v>
      </c>
      <c r="EQ30" s="160">
        <v>1400000.0</v>
      </c>
      <c r="ER30" s="160">
        <v>1400000.0</v>
      </c>
      <c r="ES30" s="160">
        <v>1400000.0</v>
      </c>
      <c r="ET30" s="159">
        <f t="shared" si="44"/>
        <v>5600000</v>
      </c>
      <c r="EU30" s="160">
        <v>1400000.0</v>
      </c>
      <c r="EV30" s="160">
        <v>1400000.0</v>
      </c>
      <c r="EW30" s="160">
        <v>1400000.0</v>
      </c>
      <c r="EX30" s="160">
        <v>1400000.0</v>
      </c>
      <c r="EY30" s="159">
        <f t="shared" si="45"/>
        <v>5600000</v>
      </c>
      <c r="EZ30" s="160">
        <v>1400000.0</v>
      </c>
      <c r="FA30" s="160">
        <v>1400000.0</v>
      </c>
      <c r="FB30" s="160">
        <v>1400000.0</v>
      </c>
      <c r="FC30" s="160">
        <v>1400000.0</v>
      </c>
      <c r="FD30" s="158">
        <f t="shared" si="46"/>
        <v>16800000</v>
      </c>
      <c r="FE30" s="159">
        <f t="shared" si="47"/>
        <v>5600000</v>
      </c>
      <c r="FF30" s="160">
        <v>1400000.0</v>
      </c>
      <c r="FG30" s="160">
        <v>1400000.0</v>
      </c>
      <c r="FH30" s="160">
        <v>1400000.0</v>
      </c>
      <c r="FI30" s="160">
        <v>1400000.0</v>
      </c>
      <c r="FJ30" s="159">
        <f t="shared" si="48"/>
        <v>5600000</v>
      </c>
      <c r="FK30" s="160">
        <v>1400000.0</v>
      </c>
      <c r="FL30" s="160">
        <v>1400000.0</v>
      </c>
      <c r="FM30" s="160">
        <v>1400000.0</v>
      </c>
      <c r="FN30" s="160">
        <v>1400000.0</v>
      </c>
      <c r="FO30" s="159">
        <f t="shared" si="49"/>
        <v>5600000</v>
      </c>
      <c r="FP30" s="160">
        <v>1400000.0</v>
      </c>
      <c r="FQ30" s="160">
        <v>1400000.0</v>
      </c>
      <c r="FR30" s="160">
        <v>1400000.0</v>
      </c>
      <c r="FS30" s="160">
        <v>1400000.0</v>
      </c>
      <c r="FT30" s="157">
        <f t="shared" si="50"/>
        <v>33600000</v>
      </c>
      <c r="FU30" s="158">
        <f t="shared" si="51"/>
        <v>16800000</v>
      </c>
      <c r="FV30" s="159">
        <f t="shared" si="52"/>
        <v>5600000</v>
      </c>
      <c r="FW30" s="160">
        <v>1400000.0</v>
      </c>
      <c r="FX30" s="160">
        <v>1400000.0</v>
      </c>
      <c r="FY30" s="160">
        <v>1400000.0</v>
      </c>
      <c r="FZ30" s="160">
        <v>1400000.0</v>
      </c>
      <c r="GA30" s="159">
        <f t="shared" si="53"/>
        <v>5600000</v>
      </c>
      <c r="GB30" s="160">
        <v>1400000.0</v>
      </c>
      <c r="GC30" s="160">
        <v>1400000.0</v>
      </c>
      <c r="GD30" s="160">
        <v>1400000.0</v>
      </c>
      <c r="GE30" s="160">
        <v>1400000.0</v>
      </c>
      <c r="GF30" s="159">
        <f t="shared" si="54"/>
        <v>5600000</v>
      </c>
      <c r="GG30" s="160">
        <v>1400000.0</v>
      </c>
      <c r="GH30" s="160">
        <v>1400000.0</v>
      </c>
      <c r="GI30" s="160">
        <v>1400000.0</v>
      </c>
      <c r="GJ30" s="160">
        <v>1400000.0</v>
      </c>
      <c r="GK30" s="158">
        <f t="shared" si="55"/>
        <v>16800000</v>
      </c>
      <c r="GL30" s="159">
        <f t="shared" si="56"/>
        <v>5600000</v>
      </c>
      <c r="GM30" s="160">
        <v>1400000.0</v>
      </c>
      <c r="GN30" s="160">
        <v>1400000.0</v>
      </c>
      <c r="GO30" s="160">
        <v>1400000.0</v>
      </c>
      <c r="GP30" s="160">
        <v>1400000.0</v>
      </c>
      <c r="GQ30" s="159">
        <f t="shared" si="57"/>
        <v>5600000</v>
      </c>
      <c r="GR30" s="160">
        <v>1400000.0</v>
      </c>
      <c r="GS30" s="160">
        <v>1400000.0</v>
      </c>
      <c r="GT30" s="160">
        <v>1400000.0</v>
      </c>
      <c r="GU30" s="160">
        <v>1400000.0</v>
      </c>
      <c r="GV30" s="159">
        <f t="shared" si="58"/>
        <v>5600000</v>
      </c>
      <c r="GW30" s="160">
        <v>1400000.0</v>
      </c>
      <c r="GX30" s="160">
        <v>1400000.0</v>
      </c>
      <c r="GY30" s="160">
        <v>1400000.0</v>
      </c>
      <c r="GZ30" s="160">
        <v>1400000.0</v>
      </c>
      <c r="HA30" s="15"/>
      <c r="HB30" s="15"/>
    </row>
    <row r="31" ht="15.75" customHeight="1">
      <c r="A31" s="13"/>
      <c r="B31" s="82"/>
      <c r="C31" s="78"/>
      <c r="D31" s="78"/>
      <c r="E31" s="154" t="s">
        <v>26</v>
      </c>
      <c r="F31" s="15"/>
      <c r="G31" s="155">
        <f t="shared" si="1"/>
        <v>180600000</v>
      </c>
      <c r="H31" s="156">
        <f t="shared" si="2"/>
        <v>60200000</v>
      </c>
      <c r="I31" s="157">
        <f t="shared" si="3"/>
        <v>30100000</v>
      </c>
      <c r="J31" s="158">
        <f t="shared" si="4"/>
        <v>15900000</v>
      </c>
      <c r="K31" s="159">
        <f t="shared" si="5"/>
        <v>5100000</v>
      </c>
      <c r="L31" s="193">
        <v>1200000.0</v>
      </c>
      <c r="M31" s="193">
        <v>1350000.0</v>
      </c>
      <c r="N31" s="193">
        <v>1250000.0</v>
      </c>
      <c r="O31" s="193">
        <v>1300000.0</v>
      </c>
      <c r="P31" s="159">
        <f t="shared" si="6"/>
        <v>5300000</v>
      </c>
      <c r="Q31" s="193">
        <v>1300000.0</v>
      </c>
      <c r="R31" s="193">
        <v>1250000.0</v>
      </c>
      <c r="S31" s="193">
        <v>1350000.0</v>
      </c>
      <c r="T31" s="193">
        <v>1400000.0</v>
      </c>
      <c r="U31" s="159">
        <f t="shared" si="7"/>
        <v>5500000</v>
      </c>
      <c r="V31" s="193">
        <v>1350000.0</v>
      </c>
      <c r="W31" s="193">
        <v>1400000.0</v>
      </c>
      <c r="X31" s="193">
        <v>1450000.0</v>
      </c>
      <c r="Y31" s="193">
        <v>1300000.0</v>
      </c>
      <c r="Z31" s="158">
        <f t="shared" si="8"/>
        <v>14200000</v>
      </c>
      <c r="AA31" s="159">
        <f t="shared" si="9"/>
        <v>4700000</v>
      </c>
      <c r="AB31" s="193">
        <v>1000000.0</v>
      </c>
      <c r="AC31" s="193">
        <v>1150000.0</v>
      </c>
      <c r="AD31" s="193">
        <v>1200000.0</v>
      </c>
      <c r="AE31" s="193">
        <v>1350000.0</v>
      </c>
      <c r="AF31" s="159">
        <f t="shared" si="10"/>
        <v>4800000</v>
      </c>
      <c r="AG31" s="193">
        <v>1250000.0</v>
      </c>
      <c r="AH31" s="193">
        <v>1150000.0</v>
      </c>
      <c r="AI31" s="193">
        <v>1100000.0</v>
      </c>
      <c r="AJ31" s="193">
        <v>1300000.0</v>
      </c>
      <c r="AK31" s="159">
        <f t="shared" si="11"/>
        <v>4700000</v>
      </c>
      <c r="AL31" s="193">
        <v>1200000.0</v>
      </c>
      <c r="AM31" s="193">
        <v>1300000.0</v>
      </c>
      <c r="AN31" s="193">
        <v>1150000.0</v>
      </c>
      <c r="AO31" s="193">
        <v>1050000.0</v>
      </c>
      <c r="AP31" s="157">
        <f t="shared" si="12"/>
        <v>30100000</v>
      </c>
      <c r="AQ31" s="158">
        <f t="shared" si="13"/>
        <v>14200000</v>
      </c>
      <c r="AR31" s="159">
        <f t="shared" si="14"/>
        <v>4700000</v>
      </c>
      <c r="AS31" s="193">
        <v>1200000.0</v>
      </c>
      <c r="AT31" s="193">
        <v>1300000.0</v>
      </c>
      <c r="AU31" s="193">
        <v>1150000.0</v>
      </c>
      <c r="AV31" s="193">
        <v>1050000.0</v>
      </c>
      <c r="AW31" s="159">
        <f t="shared" si="15"/>
        <v>4700000</v>
      </c>
      <c r="AX31" s="193">
        <v>1000000.0</v>
      </c>
      <c r="AY31" s="193">
        <v>1150000.0</v>
      </c>
      <c r="AZ31" s="193">
        <v>1200000.0</v>
      </c>
      <c r="BA31" s="193">
        <v>1350000.0</v>
      </c>
      <c r="BB31" s="159">
        <f t="shared" si="16"/>
        <v>4800000</v>
      </c>
      <c r="BC31" s="193">
        <v>1250000.0</v>
      </c>
      <c r="BD31" s="193">
        <v>1150000.0</v>
      </c>
      <c r="BE31" s="193">
        <v>1100000.0</v>
      </c>
      <c r="BF31" s="193">
        <v>1300000.0</v>
      </c>
      <c r="BG31" s="158">
        <f t="shared" si="17"/>
        <v>15900000</v>
      </c>
      <c r="BH31" s="159">
        <f t="shared" si="18"/>
        <v>5300000</v>
      </c>
      <c r="BI31" s="193">
        <v>1300000.0</v>
      </c>
      <c r="BJ31" s="193">
        <v>1250000.0</v>
      </c>
      <c r="BK31" s="193">
        <v>1350000.0</v>
      </c>
      <c r="BL31" s="193">
        <v>1400000.0</v>
      </c>
      <c r="BM31" s="159">
        <f t="shared" si="19"/>
        <v>5500000</v>
      </c>
      <c r="BN31" s="193">
        <v>1350000.0</v>
      </c>
      <c r="BO31" s="193">
        <v>1400000.0</v>
      </c>
      <c r="BP31" s="193">
        <v>1450000.0</v>
      </c>
      <c r="BQ31" s="193">
        <v>1300000.0</v>
      </c>
      <c r="BR31" s="159">
        <f t="shared" si="20"/>
        <v>5100000</v>
      </c>
      <c r="BS31" s="193">
        <v>1200000.0</v>
      </c>
      <c r="BT31" s="193">
        <v>1350000.0</v>
      </c>
      <c r="BU31" s="193">
        <v>1250000.0</v>
      </c>
      <c r="BV31" s="193">
        <v>1300000.0</v>
      </c>
      <c r="BW31" s="156">
        <f t="shared" si="21"/>
        <v>60200000</v>
      </c>
      <c r="BX31" s="157">
        <f t="shared" si="22"/>
        <v>30100000</v>
      </c>
      <c r="BY31" s="158">
        <f t="shared" si="23"/>
        <v>14200000</v>
      </c>
      <c r="BZ31" s="159">
        <f t="shared" si="24"/>
        <v>4800000</v>
      </c>
      <c r="CA31" s="193">
        <v>1250000.0</v>
      </c>
      <c r="CB31" s="193">
        <v>1150000.0</v>
      </c>
      <c r="CC31" s="193">
        <v>1100000.0</v>
      </c>
      <c r="CD31" s="193">
        <v>1300000.0</v>
      </c>
      <c r="CE31" s="159">
        <f t="shared" si="25"/>
        <v>4700000</v>
      </c>
      <c r="CF31" s="193">
        <v>1200000.0</v>
      </c>
      <c r="CG31" s="193">
        <v>1300000.0</v>
      </c>
      <c r="CH31" s="193">
        <v>1150000.0</v>
      </c>
      <c r="CI31" s="193">
        <v>1050000.0</v>
      </c>
      <c r="CJ31" s="159">
        <f t="shared" si="26"/>
        <v>4700000</v>
      </c>
      <c r="CK31" s="193">
        <v>1000000.0</v>
      </c>
      <c r="CL31" s="193">
        <v>1150000.0</v>
      </c>
      <c r="CM31" s="193">
        <v>1200000.0</v>
      </c>
      <c r="CN31" s="193">
        <v>1350000.0</v>
      </c>
      <c r="CO31" s="158">
        <f t="shared" si="27"/>
        <v>15900000</v>
      </c>
      <c r="CP31" s="159">
        <f t="shared" si="28"/>
        <v>5100000</v>
      </c>
      <c r="CQ31" s="193">
        <v>1200000.0</v>
      </c>
      <c r="CR31" s="193">
        <v>1350000.0</v>
      </c>
      <c r="CS31" s="193">
        <v>1250000.0</v>
      </c>
      <c r="CT31" s="193">
        <v>1300000.0</v>
      </c>
      <c r="CU31" s="159">
        <f t="shared" si="29"/>
        <v>5300000</v>
      </c>
      <c r="CV31" s="193">
        <v>1300000.0</v>
      </c>
      <c r="CW31" s="193">
        <v>1250000.0</v>
      </c>
      <c r="CX31" s="193">
        <v>1350000.0</v>
      </c>
      <c r="CY31" s="193">
        <v>1400000.0</v>
      </c>
      <c r="CZ31" s="159">
        <f t="shared" si="30"/>
        <v>5500000</v>
      </c>
      <c r="DA31" s="193">
        <v>1350000.0</v>
      </c>
      <c r="DB31" s="193">
        <v>1400000.0</v>
      </c>
      <c r="DC31" s="193">
        <v>1450000.0</v>
      </c>
      <c r="DD31" s="193">
        <v>1300000.0</v>
      </c>
      <c r="DE31" s="157">
        <f t="shared" si="31"/>
        <v>30100000</v>
      </c>
      <c r="DF31" s="158">
        <f t="shared" si="32"/>
        <v>15900000</v>
      </c>
      <c r="DG31" s="159">
        <f t="shared" si="33"/>
        <v>5500000</v>
      </c>
      <c r="DH31" s="193">
        <v>1350000.0</v>
      </c>
      <c r="DI31" s="193">
        <v>1400000.0</v>
      </c>
      <c r="DJ31" s="193">
        <v>1450000.0</v>
      </c>
      <c r="DK31" s="193">
        <v>1300000.0</v>
      </c>
      <c r="DL31" s="159">
        <f t="shared" si="34"/>
        <v>5100000</v>
      </c>
      <c r="DM31" s="193">
        <v>1200000.0</v>
      </c>
      <c r="DN31" s="193">
        <v>1350000.0</v>
      </c>
      <c r="DO31" s="193">
        <v>1250000.0</v>
      </c>
      <c r="DP31" s="193">
        <v>1300000.0</v>
      </c>
      <c r="DQ31" s="159">
        <f t="shared" si="35"/>
        <v>5300000</v>
      </c>
      <c r="DR31" s="193">
        <v>1300000.0</v>
      </c>
      <c r="DS31" s="193">
        <v>1250000.0</v>
      </c>
      <c r="DT31" s="193">
        <v>1350000.0</v>
      </c>
      <c r="DU31" s="193">
        <v>1400000.0</v>
      </c>
      <c r="DV31" s="158">
        <f t="shared" si="36"/>
        <v>14200000</v>
      </c>
      <c r="DW31" s="159">
        <f t="shared" si="37"/>
        <v>4700000</v>
      </c>
      <c r="DX31" s="193">
        <v>1200000.0</v>
      </c>
      <c r="DY31" s="193">
        <v>1300000.0</v>
      </c>
      <c r="DZ31" s="193">
        <v>1150000.0</v>
      </c>
      <c r="EA31" s="193">
        <v>1050000.0</v>
      </c>
      <c r="EB31" s="159">
        <f t="shared" si="38"/>
        <v>4800000</v>
      </c>
      <c r="EC31" s="193">
        <v>1250000.0</v>
      </c>
      <c r="ED31" s="193">
        <v>1150000.0</v>
      </c>
      <c r="EE31" s="193">
        <v>1100000.0</v>
      </c>
      <c r="EF31" s="193">
        <v>1300000.0</v>
      </c>
      <c r="EG31" s="159">
        <f t="shared" si="39"/>
        <v>4700000</v>
      </c>
      <c r="EH31" s="193">
        <v>1000000.0</v>
      </c>
      <c r="EI31" s="193">
        <v>1150000.0</v>
      </c>
      <c r="EJ31" s="193">
        <v>1200000.0</v>
      </c>
      <c r="EK31" s="193">
        <v>1350000.0</v>
      </c>
      <c r="EL31" s="156">
        <f t="shared" si="40"/>
        <v>60200000</v>
      </c>
      <c r="EM31" s="157">
        <f t="shared" si="41"/>
        <v>30100000</v>
      </c>
      <c r="EN31" s="158">
        <f t="shared" si="42"/>
        <v>14200000</v>
      </c>
      <c r="EO31" s="159">
        <f t="shared" si="43"/>
        <v>4800000</v>
      </c>
      <c r="EP31" s="193">
        <v>1250000.0</v>
      </c>
      <c r="EQ31" s="193">
        <v>1150000.0</v>
      </c>
      <c r="ER31" s="193">
        <v>1100000.0</v>
      </c>
      <c r="ES31" s="193">
        <v>1300000.0</v>
      </c>
      <c r="ET31" s="159">
        <f t="shared" si="44"/>
        <v>4700000</v>
      </c>
      <c r="EU31" s="193">
        <v>1000000.0</v>
      </c>
      <c r="EV31" s="193">
        <v>1150000.0</v>
      </c>
      <c r="EW31" s="193">
        <v>1200000.0</v>
      </c>
      <c r="EX31" s="193">
        <v>1350000.0</v>
      </c>
      <c r="EY31" s="159">
        <f t="shared" si="45"/>
        <v>4700000</v>
      </c>
      <c r="EZ31" s="193">
        <v>1200000.0</v>
      </c>
      <c r="FA31" s="193">
        <v>1300000.0</v>
      </c>
      <c r="FB31" s="193">
        <v>1150000.0</v>
      </c>
      <c r="FC31" s="193">
        <v>1050000.0</v>
      </c>
      <c r="FD31" s="158">
        <f t="shared" si="46"/>
        <v>15900000</v>
      </c>
      <c r="FE31" s="159">
        <f t="shared" si="47"/>
        <v>5100000</v>
      </c>
      <c r="FF31" s="193">
        <v>1200000.0</v>
      </c>
      <c r="FG31" s="193">
        <v>1350000.0</v>
      </c>
      <c r="FH31" s="193">
        <v>1250000.0</v>
      </c>
      <c r="FI31" s="193">
        <v>1300000.0</v>
      </c>
      <c r="FJ31" s="159">
        <f t="shared" si="48"/>
        <v>5300000</v>
      </c>
      <c r="FK31" s="193">
        <v>1300000.0</v>
      </c>
      <c r="FL31" s="193">
        <v>1250000.0</v>
      </c>
      <c r="FM31" s="193">
        <v>1350000.0</v>
      </c>
      <c r="FN31" s="193">
        <v>1400000.0</v>
      </c>
      <c r="FO31" s="159">
        <f t="shared" si="49"/>
        <v>5500000</v>
      </c>
      <c r="FP31" s="193">
        <v>1350000.0</v>
      </c>
      <c r="FQ31" s="193">
        <v>1400000.0</v>
      </c>
      <c r="FR31" s="193">
        <v>1450000.0</v>
      </c>
      <c r="FS31" s="193">
        <v>1300000.0</v>
      </c>
      <c r="FT31" s="157">
        <f t="shared" si="50"/>
        <v>30100000</v>
      </c>
      <c r="FU31" s="158">
        <f t="shared" si="51"/>
        <v>15900000</v>
      </c>
      <c r="FV31" s="159">
        <f t="shared" si="52"/>
        <v>5500000</v>
      </c>
      <c r="FW31" s="193">
        <v>1350000.0</v>
      </c>
      <c r="FX31" s="193">
        <v>1400000.0</v>
      </c>
      <c r="FY31" s="193">
        <v>1450000.0</v>
      </c>
      <c r="FZ31" s="193">
        <v>1300000.0</v>
      </c>
      <c r="GA31" s="159">
        <f t="shared" si="53"/>
        <v>5100000</v>
      </c>
      <c r="GB31" s="193">
        <v>1200000.0</v>
      </c>
      <c r="GC31" s="193">
        <v>1350000.0</v>
      </c>
      <c r="GD31" s="193">
        <v>1250000.0</v>
      </c>
      <c r="GE31" s="193">
        <v>1300000.0</v>
      </c>
      <c r="GF31" s="159">
        <f t="shared" si="54"/>
        <v>5300000</v>
      </c>
      <c r="GG31" s="193">
        <v>1300000.0</v>
      </c>
      <c r="GH31" s="193">
        <v>1250000.0</v>
      </c>
      <c r="GI31" s="193">
        <v>1350000.0</v>
      </c>
      <c r="GJ31" s="193">
        <v>1400000.0</v>
      </c>
      <c r="GK31" s="158">
        <f t="shared" si="55"/>
        <v>14200000</v>
      </c>
      <c r="GL31" s="159">
        <f t="shared" si="56"/>
        <v>4700000</v>
      </c>
      <c r="GM31" s="193">
        <v>1000000.0</v>
      </c>
      <c r="GN31" s="193">
        <v>1150000.0</v>
      </c>
      <c r="GO31" s="193">
        <v>1200000.0</v>
      </c>
      <c r="GP31" s="193">
        <v>1350000.0</v>
      </c>
      <c r="GQ31" s="159">
        <f t="shared" si="57"/>
        <v>4800000</v>
      </c>
      <c r="GR31" s="193">
        <v>1250000.0</v>
      </c>
      <c r="GS31" s="193">
        <v>1150000.0</v>
      </c>
      <c r="GT31" s="193">
        <v>1100000.0</v>
      </c>
      <c r="GU31" s="193">
        <v>1300000.0</v>
      </c>
      <c r="GV31" s="159">
        <f t="shared" si="58"/>
        <v>4700000</v>
      </c>
      <c r="GW31" s="193">
        <v>1200000.0</v>
      </c>
      <c r="GX31" s="193">
        <v>1300000.0</v>
      </c>
      <c r="GY31" s="193">
        <v>1150000.0</v>
      </c>
      <c r="GZ31" s="193">
        <v>1050000.0</v>
      </c>
      <c r="HA31" s="15"/>
      <c r="HB31" s="15"/>
    </row>
    <row r="32" ht="15.75" customHeight="1">
      <c r="A32" s="13"/>
      <c r="B32" s="82"/>
      <c r="C32" s="259">
        <v>3.0</v>
      </c>
      <c r="D32" s="260" t="s">
        <v>166</v>
      </c>
      <c r="E32" s="154" t="s">
        <v>19</v>
      </c>
      <c r="F32" s="15"/>
      <c r="G32" s="155">
        <f t="shared" si="1"/>
        <v>806400000</v>
      </c>
      <c r="H32" s="156">
        <f t="shared" si="2"/>
        <v>268800000</v>
      </c>
      <c r="I32" s="157">
        <f t="shared" si="3"/>
        <v>134400000</v>
      </c>
      <c r="J32" s="158">
        <f t="shared" si="4"/>
        <v>67200000</v>
      </c>
      <c r="K32" s="159">
        <f t="shared" si="5"/>
        <v>22400000</v>
      </c>
      <c r="L32" s="160">
        <v>5600000.0</v>
      </c>
      <c r="M32" s="160">
        <v>5600000.0</v>
      </c>
      <c r="N32" s="160">
        <v>5600000.0</v>
      </c>
      <c r="O32" s="160">
        <v>5600000.0</v>
      </c>
      <c r="P32" s="159">
        <f t="shared" si="6"/>
        <v>22400000</v>
      </c>
      <c r="Q32" s="160">
        <v>5600000.0</v>
      </c>
      <c r="R32" s="160">
        <v>5600000.0</v>
      </c>
      <c r="S32" s="160">
        <v>5600000.0</v>
      </c>
      <c r="T32" s="160">
        <v>5600000.0</v>
      </c>
      <c r="U32" s="159">
        <f t="shared" si="7"/>
        <v>22400000</v>
      </c>
      <c r="V32" s="160">
        <v>5600000.0</v>
      </c>
      <c r="W32" s="160">
        <v>5600000.0</v>
      </c>
      <c r="X32" s="160">
        <v>5600000.0</v>
      </c>
      <c r="Y32" s="160">
        <v>5600000.0</v>
      </c>
      <c r="Z32" s="158">
        <f t="shared" si="8"/>
        <v>67200000</v>
      </c>
      <c r="AA32" s="159">
        <f t="shared" si="9"/>
        <v>22400000</v>
      </c>
      <c r="AB32" s="160">
        <v>5600000.0</v>
      </c>
      <c r="AC32" s="160">
        <v>5600000.0</v>
      </c>
      <c r="AD32" s="160">
        <v>5600000.0</v>
      </c>
      <c r="AE32" s="160">
        <v>5600000.0</v>
      </c>
      <c r="AF32" s="159">
        <f t="shared" si="10"/>
        <v>22400000</v>
      </c>
      <c r="AG32" s="160">
        <v>5600000.0</v>
      </c>
      <c r="AH32" s="160">
        <v>5600000.0</v>
      </c>
      <c r="AI32" s="160">
        <v>5600000.0</v>
      </c>
      <c r="AJ32" s="160">
        <v>5600000.0</v>
      </c>
      <c r="AK32" s="159">
        <f t="shared" si="11"/>
        <v>22400000</v>
      </c>
      <c r="AL32" s="160">
        <v>5600000.0</v>
      </c>
      <c r="AM32" s="160">
        <v>5600000.0</v>
      </c>
      <c r="AN32" s="160">
        <v>5600000.0</v>
      </c>
      <c r="AO32" s="160">
        <v>5600000.0</v>
      </c>
      <c r="AP32" s="157">
        <f t="shared" si="12"/>
        <v>134400000</v>
      </c>
      <c r="AQ32" s="158">
        <f t="shared" si="13"/>
        <v>67200000</v>
      </c>
      <c r="AR32" s="159">
        <f t="shared" si="14"/>
        <v>22400000</v>
      </c>
      <c r="AS32" s="160">
        <v>5600000.0</v>
      </c>
      <c r="AT32" s="160">
        <v>5600000.0</v>
      </c>
      <c r="AU32" s="160">
        <v>5600000.0</v>
      </c>
      <c r="AV32" s="160">
        <v>5600000.0</v>
      </c>
      <c r="AW32" s="159">
        <f t="shared" si="15"/>
        <v>22400000</v>
      </c>
      <c r="AX32" s="160">
        <v>5600000.0</v>
      </c>
      <c r="AY32" s="160">
        <v>5600000.0</v>
      </c>
      <c r="AZ32" s="160">
        <v>5600000.0</v>
      </c>
      <c r="BA32" s="160">
        <v>5600000.0</v>
      </c>
      <c r="BB32" s="159">
        <f t="shared" si="16"/>
        <v>22400000</v>
      </c>
      <c r="BC32" s="160">
        <v>5600000.0</v>
      </c>
      <c r="BD32" s="160">
        <v>5600000.0</v>
      </c>
      <c r="BE32" s="160">
        <v>5600000.0</v>
      </c>
      <c r="BF32" s="160">
        <v>5600000.0</v>
      </c>
      <c r="BG32" s="158">
        <f t="shared" si="17"/>
        <v>67200000</v>
      </c>
      <c r="BH32" s="159">
        <f t="shared" si="18"/>
        <v>22400000</v>
      </c>
      <c r="BI32" s="160">
        <v>5600000.0</v>
      </c>
      <c r="BJ32" s="160">
        <v>5600000.0</v>
      </c>
      <c r="BK32" s="160">
        <v>5600000.0</v>
      </c>
      <c r="BL32" s="160">
        <v>5600000.0</v>
      </c>
      <c r="BM32" s="159">
        <f t="shared" si="19"/>
        <v>22400000</v>
      </c>
      <c r="BN32" s="160">
        <v>5600000.0</v>
      </c>
      <c r="BO32" s="160">
        <v>5600000.0</v>
      </c>
      <c r="BP32" s="160">
        <v>5600000.0</v>
      </c>
      <c r="BQ32" s="160">
        <v>5600000.0</v>
      </c>
      <c r="BR32" s="159">
        <f t="shared" si="20"/>
        <v>22400000</v>
      </c>
      <c r="BS32" s="160">
        <v>5600000.0</v>
      </c>
      <c r="BT32" s="160">
        <v>5600000.0</v>
      </c>
      <c r="BU32" s="160">
        <v>5600000.0</v>
      </c>
      <c r="BV32" s="160">
        <v>5600000.0</v>
      </c>
      <c r="BW32" s="156">
        <f t="shared" si="21"/>
        <v>268800000</v>
      </c>
      <c r="BX32" s="157">
        <f t="shared" si="22"/>
        <v>134400000</v>
      </c>
      <c r="BY32" s="158">
        <f t="shared" si="23"/>
        <v>67200000</v>
      </c>
      <c r="BZ32" s="159">
        <f t="shared" si="24"/>
        <v>22400000</v>
      </c>
      <c r="CA32" s="160">
        <v>5600000.0</v>
      </c>
      <c r="CB32" s="160">
        <v>5600000.0</v>
      </c>
      <c r="CC32" s="160">
        <v>5600000.0</v>
      </c>
      <c r="CD32" s="160">
        <v>5600000.0</v>
      </c>
      <c r="CE32" s="159">
        <f t="shared" si="25"/>
        <v>22400000</v>
      </c>
      <c r="CF32" s="160">
        <v>5600000.0</v>
      </c>
      <c r="CG32" s="160">
        <v>5600000.0</v>
      </c>
      <c r="CH32" s="160">
        <v>5600000.0</v>
      </c>
      <c r="CI32" s="160">
        <v>5600000.0</v>
      </c>
      <c r="CJ32" s="159">
        <f t="shared" si="26"/>
        <v>22400000</v>
      </c>
      <c r="CK32" s="160">
        <v>5600000.0</v>
      </c>
      <c r="CL32" s="160">
        <v>5600000.0</v>
      </c>
      <c r="CM32" s="160">
        <v>5600000.0</v>
      </c>
      <c r="CN32" s="160">
        <v>5600000.0</v>
      </c>
      <c r="CO32" s="158">
        <f t="shared" si="27"/>
        <v>67200000</v>
      </c>
      <c r="CP32" s="159">
        <f t="shared" si="28"/>
        <v>22400000</v>
      </c>
      <c r="CQ32" s="160">
        <v>5600000.0</v>
      </c>
      <c r="CR32" s="160">
        <v>5600000.0</v>
      </c>
      <c r="CS32" s="160">
        <v>5600000.0</v>
      </c>
      <c r="CT32" s="160">
        <v>5600000.0</v>
      </c>
      <c r="CU32" s="159">
        <f t="shared" si="29"/>
        <v>22400000</v>
      </c>
      <c r="CV32" s="160">
        <v>5600000.0</v>
      </c>
      <c r="CW32" s="160">
        <v>5600000.0</v>
      </c>
      <c r="CX32" s="160">
        <v>5600000.0</v>
      </c>
      <c r="CY32" s="160">
        <v>5600000.0</v>
      </c>
      <c r="CZ32" s="159">
        <f t="shared" si="30"/>
        <v>22400000</v>
      </c>
      <c r="DA32" s="160">
        <v>5600000.0</v>
      </c>
      <c r="DB32" s="160">
        <v>5600000.0</v>
      </c>
      <c r="DC32" s="160">
        <v>5600000.0</v>
      </c>
      <c r="DD32" s="160">
        <v>5600000.0</v>
      </c>
      <c r="DE32" s="157">
        <f t="shared" si="31"/>
        <v>134400000</v>
      </c>
      <c r="DF32" s="158">
        <f t="shared" si="32"/>
        <v>67200000</v>
      </c>
      <c r="DG32" s="159">
        <f t="shared" si="33"/>
        <v>22400000</v>
      </c>
      <c r="DH32" s="160">
        <v>5600000.0</v>
      </c>
      <c r="DI32" s="160">
        <v>5600000.0</v>
      </c>
      <c r="DJ32" s="160">
        <v>5600000.0</v>
      </c>
      <c r="DK32" s="160">
        <v>5600000.0</v>
      </c>
      <c r="DL32" s="159">
        <f t="shared" si="34"/>
        <v>22400000</v>
      </c>
      <c r="DM32" s="160">
        <v>5600000.0</v>
      </c>
      <c r="DN32" s="160">
        <v>5600000.0</v>
      </c>
      <c r="DO32" s="160">
        <v>5600000.0</v>
      </c>
      <c r="DP32" s="160">
        <v>5600000.0</v>
      </c>
      <c r="DQ32" s="159">
        <f t="shared" si="35"/>
        <v>22400000</v>
      </c>
      <c r="DR32" s="160">
        <v>5600000.0</v>
      </c>
      <c r="DS32" s="160">
        <v>5600000.0</v>
      </c>
      <c r="DT32" s="160">
        <v>5600000.0</v>
      </c>
      <c r="DU32" s="160">
        <v>5600000.0</v>
      </c>
      <c r="DV32" s="158">
        <f t="shared" si="36"/>
        <v>67200000</v>
      </c>
      <c r="DW32" s="159">
        <f t="shared" si="37"/>
        <v>22400000</v>
      </c>
      <c r="DX32" s="160">
        <v>5600000.0</v>
      </c>
      <c r="DY32" s="160">
        <v>5600000.0</v>
      </c>
      <c r="DZ32" s="160">
        <v>5600000.0</v>
      </c>
      <c r="EA32" s="160">
        <v>5600000.0</v>
      </c>
      <c r="EB32" s="159">
        <f t="shared" si="38"/>
        <v>22400000</v>
      </c>
      <c r="EC32" s="160">
        <v>5600000.0</v>
      </c>
      <c r="ED32" s="160">
        <v>5600000.0</v>
      </c>
      <c r="EE32" s="160">
        <v>5600000.0</v>
      </c>
      <c r="EF32" s="160">
        <v>5600000.0</v>
      </c>
      <c r="EG32" s="159">
        <f t="shared" si="39"/>
        <v>22400000</v>
      </c>
      <c r="EH32" s="160">
        <v>5600000.0</v>
      </c>
      <c r="EI32" s="160">
        <v>5600000.0</v>
      </c>
      <c r="EJ32" s="160">
        <v>5600000.0</v>
      </c>
      <c r="EK32" s="160">
        <v>5600000.0</v>
      </c>
      <c r="EL32" s="156">
        <f t="shared" si="40"/>
        <v>268800000</v>
      </c>
      <c r="EM32" s="157">
        <f t="shared" si="41"/>
        <v>134400000</v>
      </c>
      <c r="EN32" s="158">
        <f t="shared" si="42"/>
        <v>67200000</v>
      </c>
      <c r="EO32" s="159">
        <f t="shared" si="43"/>
        <v>22400000</v>
      </c>
      <c r="EP32" s="160">
        <v>5600000.0</v>
      </c>
      <c r="EQ32" s="160">
        <v>5600000.0</v>
      </c>
      <c r="ER32" s="160">
        <v>5600000.0</v>
      </c>
      <c r="ES32" s="160">
        <v>5600000.0</v>
      </c>
      <c r="ET32" s="159">
        <f t="shared" si="44"/>
        <v>22400000</v>
      </c>
      <c r="EU32" s="160">
        <v>5600000.0</v>
      </c>
      <c r="EV32" s="160">
        <v>5600000.0</v>
      </c>
      <c r="EW32" s="160">
        <v>5600000.0</v>
      </c>
      <c r="EX32" s="160">
        <v>5600000.0</v>
      </c>
      <c r="EY32" s="159">
        <f t="shared" si="45"/>
        <v>22400000</v>
      </c>
      <c r="EZ32" s="160">
        <v>5600000.0</v>
      </c>
      <c r="FA32" s="160">
        <v>5600000.0</v>
      </c>
      <c r="FB32" s="160">
        <v>5600000.0</v>
      </c>
      <c r="FC32" s="160">
        <v>5600000.0</v>
      </c>
      <c r="FD32" s="158">
        <f t="shared" si="46"/>
        <v>67200000</v>
      </c>
      <c r="FE32" s="159">
        <f t="shared" si="47"/>
        <v>22400000</v>
      </c>
      <c r="FF32" s="160">
        <v>5600000.0</v>
      </c>
      <c r="FG32" s="160">
        <v>5600000.0</v>
      </c>
      <c r="FH32" s="160">
        <v>5600000.0</v>
      </c>
      <c r="FI32" s="160">
        <v>5600000.0</v>
      </c>
      <c r="FJ32" s="159">
        <f t="shared" si="48"/>
        <v>22400000</v>
      </c>
      <c r="FK32" s="160">
        <v>5600000.0</v>
      </c>
      <c r="FL32" s="160">
        <v>5600000.0</v>
      </c>
      <c r="FM32" s="160">
        <v>5600000.0</v>
      </c>
      <c r="FN32" s="160">
        <v>5600000.0</v>
      </c>
      <c r="FO32" s="159">
        <f t="shared" si="49"/>
        <v>22400000</v>
      </c>
      <c r="FP32" s="160">
        <v>5600000.0</v>
      </c>
      <c r="FQ32" s="160">
        <v>5600000.0</v>
      </c>
      <c r="FR32" s="160">
        <v>5600000.0</v>
      </c>
      <c r="FS32" s="160">
        <v>5600000.0</v>
      </c>
      <c r="FT32" s="157">
        <f t="shared" si="50"/>
        <v>134400000</v>
      </c>
      <c r="FU32" s="158">
        <f t="shared" si="51"/>
        <v>67200000</v>
      </c>
      <c r="FV32" s="159">
        <f t="shared" si="52"/>
        <v>22400000</v>
      </c>
      <c r="FW32" s="160">
        <v>5600000.0</v>
      </c>
      <c r="FX32" s="160">
        <v>5600000.0</v>
      </c>
      <c r="FY32" s="160">
        <v>5600000.0</v>
      </c>
      <c r="FZ32" s="160">
        <v>5600000.0</v>
      </c>
      <c r="GA32" s="159">
        <f t="shared" si="53"/>
        <v>22400000</v>
      </c>
      <c r="GB32" s="160">
        <v>5600000.0</v>
      </c>
      <c r="GC32" s="160">
        <v>5600000.0</v>
      </c>
      <c r="GD32" s="160">
        <v>5600000.0</v>
      </c>
      <c r="GE32" s="160">
        <v>5600000.0</v>
      </c>
      <c r="GF32" s="159">
        <f t="shared" si="54"/>
        <v>22400000</v>
      </c>
      <c r="GG32" s="160">
        <v>5600000.0</v>
      </c>
      <c r="GH32" s="160">
        <v>5600000.0</v>
      </c>
      <c r="GI32" s="160">
        <v>5600000.0</v>
      </c>
      <c r="GJ32" s="160">
        <v>5600000.0</v>
      </c>
      <c r="GK32" s="158">
        <f t="shared" si="55"/>
        <v>67200000</v>
      </c>
      <c r="GL32" s="159">
        <f t="shared" si="56"/>
        <v>22400000</v>
      </c>
      <c r="GM32" s="160">
        <v>5600000.0</v>
      </c>
      <c r="GN32" s="160">
        <v>5600000.0</v>
      </c>
      <c r="GO32" s="160">
        <v>5600000.0</v>
      </c>
      <c r="GP32" s="160">
        <v>5600000.0</v>
      </c>
      <c r="GQ32" s="159">
        <f t="shared" si="57"/>
        <v>22400000</v>
      </c>
      <c r="GR32" s="160">
        <v>5600000.0</v>
      </c>
      <c r="GS32" s="160">
        <v>5600000.0</v>
      </c>
      <c r="GT32" s="160">
        <v>5600000.0</v>
      </c>
      <c r="GU32" s="160">
        <v>5600000.0</v>
      </c>
      <c r="GV32" s="159">
        <f t="shared" si="58"/>
        <v>22400000</v>
      </c>
      <c r="GW32" s="160">
        <v>5600000.0</v>
      </c>
      <c r="GX32" s="160">
        <v>5600000.0</v>
      </c>
      <c r="GY32" s="160">
        <v>5600000.0</v>
      </c>
      <c r="GZ32" s="160">
        <v>5600000.0</v>
      </c>
      <c r="HA32" s="15"/>
      <c r="HB32" s="15"/>
    </row>
    <row r="33" ht="15.75" customHeight="1">
      <c r="A33" s="13"/>
      <c r="B33" s="78"/>
      <c r="C33" s="78"/>
      <c r="D33" s="78"/>
      <c r="E33" s="154" t="s">
        <v>26</v>
      </c>
      <c r="F33" s="15"/>
      <c r="G33" s="155">
        <f t="shared" si="1"/>
        <v>621300000</v>
      </c>
      <c r="H33" s="156">
        <f t="shared" si="2"/>
        <v>206800000</v>
      </c>
      <c r="I33" s="157">
        <f t="shared" si="3"/>
        <v>103325000</v>
      </c>
      <c r="J33" s="158">
        <f t="shared" si="4"/>
        <v>55175000</v>
      </c>
      <c r="K33" s="159">
        <f t="shared" si="5"/>
        <v>21700000</v>
      </c>
      <c r="L33" s="193">
        <v>5300000.0</v>
      </c>
      <c r="M33" s="193">
        <v>5350000.0</v>
      </c>
      <c r="N33" s="193">
        <v>5350000.0</v>
      </c>
      <c r="O33" s="193">
        <v>5700000.0</v>
      </c>
      <c r="P33" s="159"/>
      <c r="Q33" s="193">
        <v>5300000.0</v>
      </c>
      <c r="R33" s="193">
        <v>5550000.0</v>
      </c>
      <c r="S33" s="193">
        <v>5500000.0</v>
      </c>
      <c r="T33" s="193">
        <v>5500000.0</v>
      </c>
      <c r="U33" s="159">
        <f t="shared" si="7"/>
        <v>22550000</v>
      </c>
      <c r="V33" s="193">
        <v>5650000.0</v>
      </c>
      <c r="W33" s="193">
        <v>5500000.0</v>
      </c>
      <c r="X33" s="193">
        <v>5600000.0</v>
      </c>
      <c r="Y33" s="193">
        <v>5800000.0</v>
      </c>
      <c r="Z33" s="158">
        <f t="shared" si="8"/>
        <v>48150000</v>
      </c>
      <c r="AA33" s="159">
        <f t="shared" si="9"/>
        <v>19100000</v>
      </c>
      <c r="AB33" s="193">
        <v>5000000.0</v>
      </c>
      <c r="AC33" s="193">
        <v>4750000.0</v>
      </c>
      <c r="AD33" s="193">
        <v>4600000.0</v>
      </c>
      <c r="AE33" s="193">
        <v>4750000.0</v>
      </c>
      <c r="AF33" s="159"/>
      <c r="AG33" s="193">
        <v>4950000.0</v>
      </c>
      <c r="AH33" s="193">
        <v>5000000.0</v>
      </c>
      <c r="AI33" s="193">
        <v>5150000.0</v>
      </c>
      <c r="AJ33" s="193">
        <v>5000000.0</v>
      </c>
      <c r="AK33" s="159">
        <f t="shared" si="11"/>
        <v>19000000</v>
      </c>
      <c r="AL33" s="193">
        <v>4750000.0</v>
      </c>
      <c r="AM33" s="193">
        <v>4550000.0</v>
      </c>
      <c r="AN33" s="193">
        <v>4650000.0</v>
      </c>
      <c r="AO33" s="193">
        <v>5050000.0</v>
      </c>
      <c r="AP33" s="157">
        <f t="shared" si="12"/>
        <v>103475000</v>
      </c>
      <c r="AQ33" s="158">
        <f t="shared" si="13"/>
        <v>48650000</v>
      </c>
      <c r="AR33" s="159">
        <f t="shared" si="14"/>
        <v>19000000</v>
      </c>
      <c r="AS33" s="193">
        <v>4750000.0</v>
      </c>
      <c r="AT33" s="193">
        <v>4550000.0</v>
      </c>
      <c r="AU33" s="193">
        <v>4650000.0</v>
      </c>
      <c r="AV33" s="193">
        <v>5050000.0</v>
      </c>
      <c r="AW33" s="159"/>
      <c r="AX33" s="193">
        <v>5000000.0</v>
      </c>
      <c r="AY33" s="193">
        <v>4750000.0</v>
      </c>
      <c r="AZ33" s="193">
        <v>4600000.0</v>
      </c>
      <c r="BA33" s="193">
        <v>4750000.0</v>
      </c>
      <c r="BB33" s="159">
        <f t="shared" si="16"/>
        <v>20100000</v>
      </c>
      <c r="BC33" s="193">
        <v>4950000.0</v>
      </c>
      <c r="BD33" s="193">
        <v>5000000.0</v>
      </c>
      <c r="BE33" s="193">
        <v>5150000.0</v>
      </c>
      <c r="BF33" s="193">
        <v>5000000.0</v>
      </c>
      <c r="BG33" s="158">
        <f t="shared" si="17"/>
        <v>54825000</v>
      </c>
      <c r="BH33" s="159">
        <f t="shared" si="18"/>
        <v>21850000</v>
      </c>
      <c r="BI33" s="193">
        <v>5300000.0</v>
      </c>
      <c r="BJ33" s="193">
        <v>5550000.0</v>
      </c>
      <c r="BK33" s="193">
        <v>5500000.0</v>
      </c>
      <c r="BL33" s="193">
        <v>5500000.0</v>
      </c>
      <c r="BM33" s="159"/>
      <c r="BN33" s="193">
        <v>5650000.0</v>
      </c>
      <c r="BO33" s="193">
        <v>5500000.0</v>
      </c>
      <c r="BP33" s="193">
        <v>5600000.0</v>
      </c>
      <c r="BQ33" s="193">
        <v>5800000.0</v>
      </c>
      <c r="BR33" s="159">
        <f t="shared" si="20"/>
        <v>21700000</v>
      </c>
      <c r="BS33" s="193">
        <v>5300000.0</v>
      </c>
      <c r="BT33" s="193">
        <v>5350000.0</v>
      </c>
      <c r="BU33" s="193">
        <v>5350000.0</v>
      </c>
      <c r="BV33" s="193">
        <v>5700000.0</v>
      </c>
      <c r="BW33" s="156">
        <f t="shared" si="21"/>
        <v>207275000</v>
      </c>
      <c r="BX33" s="157">
        <f t="shared" si="22"/>
        <v>103875000</v>
      </c>
      <c r="BY33" s="158">
        <f t="shared" si="23"/>
        <v>48700000</v>
      </c>
      <c r="BZ33" s="159">
        <f t="shared" si="24"/>
        <v>20100000</v>
      </c>
      <c r="CA33" s="193">
        <v>4950000.0</v>
      </c>
      <c r="CB33" s="193">
        <v>5000000.0</v>
      </c>
      <c r="CC33" s="193">
        <v>5150000.0</v>
      </c>
      <c r="CD33" s="193">
        <v>5000000.0</v>
      </c>
      <c r="CE33" s="159"/>
      <c r="CF33" s="193">
        <v>4750000.0</v>
      </c>
      <c r="CG33" s="193">
        <v>4550000.0</v>
      </c>
      <c r="CH33" s="193">
        <v>4650000.0</v>
      </c>
      <c r="CI33" s="193">
        <v>5050000.0</v>
      </c>
      <c r="CJ33" s="159">
        <f t="shared" si="26"/>
        <v>19100000</v>
      </c>
      <c r="CK33" s="193">
        <v>5000000.0</v>
      </c>
      <c r="CL33" s="193">
        <v>4750000.0</v>
      </c>
      <c r="CM33" s="193">
        <v>4600000.0</v>
      </c>
      <c r="CN33" s="193">
        <v>4750000.0</v>
      </c>
      <c r="CO33" s="158">
        <f t="shared" si="27"/>
        <v>55175000</v>
      </c>
      <c r="CP33" s="159">
        <f t="shared" si="28"/>
        <v>21700000</v>
      </c>
      <c r="CQ33" s="193">
        <v>5300000.0</v>
      </c>
      <c r="CR33" s="193">
        <v>5350000.0</v>
      </c>
      <c r="CS33" s="193">
        <v>5350000.0</v>
      </c>
      <c r="CT33" s="193">
        <v>5700000.0</v>
      </c>
      <c r="CU33" s="159"/>
      <c r="CV33" s="193">
        <v>5300000.0</v>
      </c>
      <c r="CW33" s="193">
        <v>5550000.0</v>
      </c>
      <c r="CX33" s="193">
        <v>5500000.0</v>
      </c>
      <c r="CY33" s="193">
        <v>5500000.0</v>
      </c>
      <c r="CZ33" s="159">
        <f t="shared" si="30"/>
        <v>22550000</v>
      </c>
      <c r="DA33" s="193">
        <v>5650000.0</v>
      </c>
      <c r="DB33" s="193">
        <v>5500000.0</v>
      </c>
      <c r="DC33" s="193">
        <v>5600000.0</v>
      </c>
      <c r="DD33" s="193">
        <v>5800000.0</v>
      </c>
      <c r="DE33" s="157">
        <f t="shared" si="31"/>
        <v>103400000</v>
      </c>
      <c r="DF33" s="158">
        <f t="shared" si="32"/>
        <v>55250000</v>
      </c>
      <c r="DG33" s="159">
        <f t="shared" si="33"/>
        <v>22550000</v>
      </c>
      <c r="DH33" s="193">
        <v>5650000.0</v>
      </c>
      <c r="DI33" s="193">
        <v>5500000.0</v>
      </c>
      <c r="DJ33" s="193">
        <v>5600000.0</v>
      </c>
      <c r="DK33" s="193">
        <v>5800000.0</v>
      </c>
      <c r="DL33" s="159"/>
      <c r="DM33" s="193">
        <v>5300000.0</v>
      </c>
      <c r="DN33" s="193">
        <v>5350000.0</v>
      </c>
      <c r="DO33" s="193">
        <v>5350000.0</v>
      </c>
      <c r="DP33" s="193">
        <v>5700000.0</v>
      </c>
      <c r="DQ33" s="159">
        <f t="shared" si="35"/>
        <v>21850000</v>
      </c>
      <c r="DR33" s="193">
        <v>5300000.0</v>
      </c>
      <c r="DS33" s="193">
        <v>5550000.0</v>
      </c>
      <c r="DT33" s="193">
        <v>5500000.0</v>
      </c>
      <c r="DU33" s="193">
        <v>5500000.0</v>
      </c>
      <c r="DV33" s="158">
        <f t="shared" si="36"/>
        <v>48150000</v>
      </c>
      <c r="DW33" s="159">
        <f t="shared" si="37"/>
        <v>19000000</v>
      </c>
      <c r="DX33" s="193">
        <v>4750000.0</v>
      </c>
      <c r="DY33" s="193">
        <v>4550000.0</v>
      </c>
      <c r="DZ33" s="193">
        <v>4650000.0</v>
      </c>
      <c r="EA33" s="193">
        <v>5050000.0</v>
      </c>
      <c r="EB33" s="159"/>
      <c r="EC33" s="193">
        <v>4950000.0</v>
      </c>
      <c r="ED33" s="193">
        <v>5000000.0</v>
      </c>
      <c r="EE33" s="193">
        <v>5150000.0</v>
      </c>
      <c r="EF33" s="193">
        <v>5000000.0</v>
      </c>
      <c r="EG33" s="159">
        <f t="shared" si="39"/>
        <v>19100000</v>
      </c>
      <c r="EH33" s="193">
        <v>5000000.0</v>
      </c>
      <c r="EI33" s="193">
        <v>4750000.0</v>
      </c>
      <c r="EJ33" s="193">
        <v>4600000.0</v>
      </c>
      <c r="EK33" s="193">
        <v>4750000.0</v>
      </c>
      <c r="EL33" s="156">
        <f t="shared" si="40"/>
        <v>207225000</v>
      </c>
      <c r="EM33" s="157">
        <f t="shared" si="41"/>
        <v>103825000</v>
      </c>
      <c r="EN33" s="158">
        <f t="shared" si="42"/>
        <v>48650000</v>
      </c>
      <c r="EO33" s="159">
        <f t="shared" si="43"/>
        <v>20100000</v>
      </c>
      <c r="EP33" s="193">
        <v>4950000.0</v>
      </c>
      <c r="EQ33" s="193">
        <v>5000000.0</v>
      </c>
      <c r="ER33" s="193">
        <v>5150000.0</v>
      </c>
      <c r="ES33" s="193">
        <v>5000000.0</v>
      </c>
      <c r="ET33" s="159"/>
      <c r="EU33" s="193">
        <v>5000000.0</v>
      </c>
      <c r="EV33" s="193">
        <v>4750000.0</v>
      </c>
      <c r="EW33" s="193">
        <v>4600000.0</v>
      </c>
      <c r="EX33" s="193">
        <v>4750000.0</v>
      </c>
      <c r="EY33" s="159">
        <f t="shared" si="45"/>
        <v>19000000</v>
      </c>
      <c r="EZ33" s="193">
        <v>4750000.0</v>
      </c>
      <c r="FA33" s="193">
        <v>4550000.0</v>
      </c>
      <c r="FB33" s="193">
        <v>4650000.0</v>
      </c>
      <c r="FC33" s="193">
        <v>5050000.0</v>
      </c>
      <c r="FD33" s="158">
        <f t="shared" si="46"/>
        <v>55175000</v>
      </c>
      <c r="FE33" s="159">
        <f t="shared" si="47"/>
        <v>21700000</v>
      </c>
      <c r="FF33" s="193">
        <v>5300000.0</v>
      </c>
      <c r="FG33" s="193">
        <v>5350000.0</v>
      </c>
      <c r="FH33" s="193">
        <v>5350000.0</v>
      </c>
      <c r="FI33" s="193">
        <v>5700000.0</v>
      </c>
      <c r="FJ33" s="159"/>
      <c r="FK33" s="193">
        <v>5300000.0</v>
      </c>
      <c r="FL33" s="193">
        <v>5550000.0</v>
      </c>
      <c r="FM33" s="193">
        <v>5500000.0</v>
      </c>
      <c r="FN33" s="193">
        <v>5500000.0</v>
      </c>
      <c r="FO33" s="159">
        <f t="shared" si="49"/>
        <v>22550000</v>
      </c>
      <c r="FP33" s="193">
        <v>5650000.0</v>
      </c>
      <c r="FQ33" s="193">
        <v>5500000.0</v>
      </c>
      <c r="FR33" s="193">
        <v>5600000.0</v>
      </c>
      <c r="FS33" s="193">
        <v>5800000.0</v>
      </c>
      <c r="FT33" s="157">
        <f t="shared" si="50"/>
        <v>103400000</v>
      </c>
      <c r="FU33" s="158">
        <f t="shared" si="51"/>
        <v>55250000</v>
      </c>
      <c r="FV33" s="159">
        <f t="shared" si="52"/>
        <v>22550000</v>
      </c>
      <c r="FW33" s="193">
        <v>5650000.0</v>
      </c>
      <c r="FX33" s="193">
        <v>5500000.0</v>
      </c>
      <c r="FY33" s="193">
        <v>5600000.0</v>
      </c>
      <c r="FZ33" s="193">
        <v>5800000.0</v>
      </c>
      <c r="GA33" s="159"/>
      <c r="GB33" s="193">
        <v>5300000.0</v>
      </c>
      <c r="GC33" s="193">
        <v>5350000.0</v>
      </c>
      <c r="GD33" s="193">
        <v>5350000.0</v>
      </c>
      <c r="GE33" s="193">
        <v>5700000.0</v>
      </c>
      <c r="GF33" s="159">
        <f t="shared" si="54"/>
        <v>21850000</v>
      </c>
      <c r="GG33" s="193">
        <v>5300000.0</v>
      </c>
      <c r="GH33" s="193">
        <v>5550000.0</v>
      </c>
      <c r="GI33" s="193">
        <v>5500000.0</v>
      </c>
      <c r="GJ33" s="193">
        <v>5500000.0</v>
      </c>
      <c r="GK33" s="158">
        <f t="shared" si="55"/>
        <v>48150000</v>
      </c>
      <c r="GL33" s="159">
        <f t="shared" si="56"/>
        <v>19100000</v>
      </c>
      <c r="GM33" s="193">
        <v>5000000.0</v>
      </c>
      <c r="GN33" s="193">
        <v>4750000.0</v>
      </c>
      <c r="GO33" s="193">
        <v>4600000.0</v>
      </c>
      <c r="GP33" s="193">
        <v>4750000.0</v>
      </c>
      <c r="GQ33" s="159"/>
      <c r="GR33" s="193">
        <v>4950000.0</v>
      </c>
      <c r="GS33" s="193">
        <v>5000000.0</v>
      </c>
      <c r="GT33" s="193">
        <v>5150000.0</v>
      </c>
      <c r="GU33" s="193">
        <v>5000000.0</v>
      </c>
      <c r="GV33" s="159">
        <f t="shared" si="58"/>
        <v>19000000</v>
      </c>
      <c r="GW33" s="193">
        <v>4750000.0</v>
      </c>
      <c r="GX33" s="193">
        <v>4550000.0</v>
      </c>
      <c r="GY33" s="193">
        <v>4650000.0</v>
      </c>
      <c r="GZ33" s="193">
        <v>5050000.0</v>
      </c>
      <c r="HA33" s="15"/>
      <c r="HB33" s="15"/>
    </row>
    <row r="34" ht="15.75" customHeight="1">
      <c r="A34" s="13"/>
      <c r="B34" s="13"/>
      <c r="C34" s="13"/>
      <c r="D34" s="13"/>
      <c r="E34" s="13"/>
      <c r="F34" s="15"/>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c r="BF34" s="13"/>
      <c r="BG34" s="13"/>
      <c r="BH34" s="13"/>
      <c r="BI34" s="13"/>
      <c r="BJ34" s="13"/>
      <c r="BK34" s="13"/>
      <c r="BL34" s="13"/>
      <c r="BM34" s="13"/>
      <c r="BN34" s="13"/>
      <c r="BO34" s="13"/>
      <c r="BP34" s="13"/>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c r="CO34" s="13"/>
      <c r="CP34" s="13"/>
      <c r="CQ34" s="13"/>
      <c r="CR34" s="13"/>
      <c r="CS34" s="13"/>
      <c r="CT34" s="13"/>
      <c r="CU34" s="13"/>
      <c r="CV34" s="13"/>
      <c r="CW34" s="13"/>
      <c r="CX34" s="13"/>
      <c r="CY34" s="13"/>
      <c r="CZ34" s="13"/>
      <c r="DA34" s="13"/>
      <c r="DB34" s="13"/>
      <c r="DC34" s="13"/>
      <c r="DD34" s="13"/>
      <c r="DE34" s="13"/>
      <c r="DF34" s="13"/>
      <c r="DG34" s="13"/>
      <c r="DH34" s="13"/>
      <c r="DI34" s="13"/>
      <c r="DJ34" s="13"/>
      <c r="DK34" s="13"/>
      <c r="DL34" s="13"/>
      <c r="DM34" s="13"/>
      <c r="DN34" s="13"/>
      <c r="DO34" s="13"/>
      <c r="DP34" s="13"/>
      <c r="DQ34" s="13"/>
      <c r="DR34" s="13"/>
      <c r="DS34" s="13"/>
      <c r="DT34" s="13"/>
      <c r="DU34" s="13"/>
      <c r="DV34" s="13"/>
      <c r="DW34" s="13"/>
      <c r="DX34" s="13"/>
      <c r="DY34" s="13"/>
      <c r="DZ34" s="13"/>
      <c r="EA34" s="13"/>
      <c r="EB34" s="13"/>
      <c r="EC34" s="13"/>
      <c r="ED34" s="13"/>
      <c r="EE34" s="13"/>
      <c r="EF34" s="13"/>
      <c r="EG34" s="13"/>
      <c r="EH34" s="13"/>
      <c r="EI34" s="13"/>
      <c r="EJ34" s="13"/>
      <c r="EK34" s="13"/>
      <c r="EL34" s="13"/>
      <c r="EM34" s="13"/>
      <c r="EN34" s="13"/>
      <c r="EO34" s="13"/>
      <c r="EP34" s="13"/>
      <c r="EQ34" s="13"/>
      <c r="ER34" s="13"/>
      <c r="ES34" s="13"/>
      <c r="ET34" s="13"/>
      <c r="EU34" s="13"/>
      <c r="EV34" s="13"/>
      <c r="EW34" s="13"/>
      <c r="EX34" s="13"/>
      <c r="EY34" s="13"/>
      <c r="EZ34" s="13"/>
      <c r="FA34" s="13"/>
      <c r="FB34" s="13"/>
      <c r="FC34" s="13"/>
      <c r="FD34" s="13"/>
      <c r="FE34" s="13"/>
      <c r="FF34" s="13"/>
      <c r="FG34" s="13"/>
      <c r="FH34" s="13"/>
      <c r="FI34" s="13"/>
      <c r="FJ34" s="13"/>
      <c r="FK34" s="13"/>
      <c r="FL34" s="13"/>
      <c r="FM34" s="13"/>
      <c r="FN34" s="13"/>
      <c r="FO34" s="13"/>
      <c r="FP34" s="13"/>
      <c r="FQ34" s="13"/>
      <c r="FR34" s="13"/>
      <c r="FS34" s="13"/>
      <c r="FT34" s="13"/>
      <c r="FU34" s="13"/>
      <c r="FV34" s="13"/>
      <c r="FW34" s="13"/>
      <c r="FX34" s="13"/>
      <c r="FY34" s="13"/>
      <c r="FZ34" s="13"/>
      <c r="GA34" s="13"/>
      <c r="GB34" s="13"/>
      <c r="GC34" s="13"/>
      <c r="GD34" s="13"/>
      <c r="GE34" s="13"/>
      <c r="GF34" s="13"/>
      <c r="GG34" s="13"/>
      <c r="GH34" s="13"/>
      <c r="GI34" s="13"/>
      <c r="GJ34" s="13"/>
      <c r="GK34" s="13"/>
      <c r="GL34" s="13"/>
      <c r="GM34" s="13"/>
      <c r="GN34" s="13"/>
      <c r="GO34" s="13"/>
      <c r="GP34" s="13"/>
      <c r="GQ34" s="13"/>
      <c r="GR34" s="13"/>
      <c r="GS34" s="13"/>
      <c r="GT34" s="13"/>
      <c r="GU34" s="13"/>
      <c r="GV34" s="13"/>
      <c r="GW34" s="13"/>
      <c r="GX34" s="13"/>
      <c r="GY34" s="13"/>
      <c r="GZ34" s="13"/>
      <c r="HA34" s="15"/>
      <c r="HB34" s="15"/>
    </row>
  </sheetData>
  <mergeCells count="100">
    <mergeCell ref="EL3:GZ3"/>
    <mergeCell ref="EM4:FS4"/>
    <mergeCell ref="FT4:GZ4"/>
    <mergeCell ref="EO6:ES6"/>
    <mergeCell ref="ET6:EX6"/>
    <mergeCell ref="EY6:FC6"/>
    <mergeCell ref="FE6:FI6"/>
    <mergeCell ref="FJ6:FN6"/>
    <mergeCell ref="FO6:FS6"/>
    <mergeCell ref="FV6:FZ6"/>
    <mergeCell ref="GA6:GE6"/>
    <mergeCell ref="GF6:GJ6"/>
    <mergeCell ref="GL6:GP6"/>
    <mergeCell ref="GQ6:GU6"/>
    <mergeCell ref="GV6:GZ6"/>
    <mergeCell ref="G2:GZ2"/>
    <mergeCell ref="G3:G6"/>
    <mergeCell ref="H3:BV3"/>
    <mergeCell ref="BW3:EK3"/>
    <mergeCell ref="I4:AO4"/>
    <mergeCell ref="DV5:EK5"/>
    <mergeCell ref="GK5:GZ5"/>
    <mergeCell ref="EN5:FC5"/>
    <mergeCell ref="FD5:FS5"/>
    <mergeCell ref="FT5:FT6"/>
    <mergeCell ref="FU5:GJ5"/>
    <mergeCell ref="H4:H6"/>
    <mergeCell ref="K6:O6"/>
    <mergeCell ref="P6:T6"/>
    <mergeCell ref="U6:Y6"/>
    <mergeCell ref="AA6:AE6"/>
    <mergeCell ref="AF6:AJ6"/>
    <mergeCell ref="AK6:AO6"/>
    <mergeCell ref="AR6:AV6"/>
    <mergeCell ref="AW6:BA6"/>
    <mergeCell ref="BB6:BF6"/>
    <mergeCell ref="AP4:BV4"/>
    <mergeCell ref="BW4:BW6"/>
    <mergeCell ref="AP5:AP6"/>
    <mergeCell ref="AQ5:BF5"/>
    <mergeCell ref="BG5:BV5"/>
    <mergeCell ref="BH6:BL6"/>
    <mergeCell ref="BM6:BQ6"/>
    <mergeCell ref="BR6:BV6"/>
    <mergeCell ref="BX4:DD4"/>
    <mergeCell ref="DE4:EK4"/>
    <mergeCell ref="Z5:AO5"/>
    <mergeCell ref="BX5:BX6"/>
    <mergeCell ref="BZ6:CD6"/>
    <mergeCell ref="CE6:CI6"/>
    <mergeCell ref="CJ6:CN6"/>
    <mergeCell ref="CP6:CT6"/>
    <mergeCell ref="CU6:CY6"/>
    <mergeCell ref="BY5:CN5"/>
    <mergeCell ref="CO5:DD5"/>
    <mergeCell ref="EL4:EL6"/>
    <mergeCell ref="EM5:EM6"/>
    <mergeCell ref="EB6:EF6"/>
    <mergeCell ref="EG6:EK6"/>
    <mergeCell ref="DE5:DE6"/>
    <mergeCell ref="DF5:DU5"/>
    <mergeCell ref="CZ6:DD6"/>
    <mergeCell ref="DG6:DK6"/>
    <mergeCell ref="DL6:DP6"/>
    <mergeCell ref="DQ6:DU6"/>
    <mergeCell ref="DW6:EA6"/>
    <mergeCell ref="D20:D21"/>
    <mergeCell ref="C22:C23"/>
    <mergeCell ref="D22:D23"/>
    <mergeCell ref="C12:C13"/>
    <mergeCell ref="D12:D13"/>
    <mergeCell ref="B14:B19"/>
    <mergeCell ref="C14:C15"/>
    <mergeCell ref="D14:D15"/>
    <mergeCell ref="D16:D17"/>
    <mergeCell ref="B20:B27"/>
    <mergeCell ref="C10:C11"/>
    <mergeCell ref="D10:D11"/>
    <mergeCell ref="I5:I6"/>
    <mergeCell ref="J5:Y5"/>
    <mergeCell ref="B6:D6"/>
    <mergeCell ref="B7:C7"/>
    <mergeCell ref="B8:B13"/>
    <mergeCell ref="C8:C9"/>
    <mergeCell ref="D8:D9"/>
    <mergeCell ref="C18:C19"/>
    <mergeCell ref="D18:D19"/>
    <mergeCell ref="C16:C17"/>
    <mergeCell ref="C20:C21"/>
    <mergeCell ref="C24:C25"/>
    <mergeCell ref="D24:D25"/>
    <mergeCell ref="C26:C27"/>
    <mergeCell ref="D26:D27"/>
    <mergeCell ref="D28:D29"/>
    <mergeCell ref="D30:D31"/>
    <mergeCell ref="D32:D33"/>
    <mergeCell ref="B28:B33"/>
    <mergeCell ref="C28:C29"/>
    <mergeCell ref="C30:C31"/>
    <mergeCell ref="C32:C33"/>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pageSetUpPr fitToPage="1"/>
  </sheetPr>
  <sheetViews>
    <sheetView showGridLines="0" workbookViewId="0"/>
  </sheetViews>
  <sheetFormatPr customHeight="1" defaultColWidth="12.63" defaultRowHeight="15.0" outlineLevelCol="4"/>
  <cols>
    <col customWidth="1" min="1" max="1" width="2.75"/>
    <col customWidth="1" min="2" max="2" width="5.63"/>
    <col customWidth="1" min="3" max="3" width="4.63"/>
    <col customWidth="1" min="4" max="4" width="21.75"/>
    <col customWidth="1" min="5" max="5" width="5.13"/>
    <col customWidth="1" min="6" max="6" width="2.75"/>
    <col customWidth="1" min="7" max="8" width="12.75"/>
    <col customWidth="1" min="9" max="9" width="12.75" outlineLevel="1"/>
    <col customWidth="1" min="10" max="10" width="9.13" outlineLevel="2"/>
    <col customWidth="1" min="11" max="11" width="7.63" outlineLevel="3"/>
    <col customWidth="1" min="12" max="15" width="7.63" outlineLevel="4"/>
    <col customWidth="1" min="16" max="16" width="7.63" outlineLevel="3"/>
    <col customWidth="1" min="17" max="20" width="7.63" outlineLevel="4"/>
    <col customWidth="1" min="21" max="21" width="7.63" outlineLevel="3"/>
    <col customWidth="1" min="22" max="25" width="7.63" outlineLevel="4"/>
    <col customWidth="1" min="26" max="26" width="9.5" outlineLevel="2"/>
    <col customWidth="1" min="27" max="27" width="7.63" outlineLevel="3"/>
    <col customWidth="1" min="28" max="31" width="7.63" outlineLevel="4"/>
    <col customWidth="1" min="32" max="32" width="7.63" outlineLevel="3"/>
    <col customWidth="1" min="33" max="36" width="7.63" outlineLevel="4"/>
    <col customWidth="1" min="37" max="37" width="7.63" outlineLevel="3"/>
    <col customWidth="1" min="38" max="41" width="7.63" outlineLevel="4"/>
    <col customWidth="1" min="42" max="42" width="12.75" outlineLevel="1"/>
    <col customWidth="1" min="43" max="43" width="9.13" outlineLevel="2"/>
    <col customWidth="1" min="44" max="44" width="6.38" outlineLevel="3"/>
    <col customWidth="1" min="45" max="48" width="7.63" outlineLevel="4"/>
    <col customWidth="1" min="49" max="49" width="7.63" outlineLevel="3"/>
    <col customWidth="1" min="50" max="53" width="7.63" outlineLevel="4"/>
    <col customWidth="1" min="54" max="54" width="7.63" outlineLevel="3"/>
    <col customWidth="1" min="55" max="58" width="7.63" outlineLevel="4"/>
    <col customWidth="1" min="59" max="59" width="9.5" outlineLevel="2"/>
    <col customWidth="1" min="60" max="60" width="7.63" outlineLevel="3"/>
    <col customWidth="1" min="61" max="64" width="7.63" outlineLevel="4"/>
    <col customWidth="1" min="65" max="65" width="7.63" outlineLevel="3"/>
    <col customWidth="1" min="66" max="69" width="7.63" outlineLevel="4"/>
    <col customWidth="1" min="70" max="70" width="7.63" outlineLevel="3"/>
    <col customWidth="1" min="71" max="74" width="7.63" outlineLevel="4"/>
    <col customWidth="1" min="75" max="75" width="12.75"/>
    <col customWidth="1" min="76" max="76" width="12.75" outlineLevel="1"/>
    <col customWidth="1" min="77" max="77" width="9.13" outlineLevel="2"/>
    <col customWidth="1" min="78" max="78" width="6.38" outlineLevel="3"/>
    <col customWidth="1" min="79" max="82" width="7.63" outlineLevel="4"/>
    <col customWidth="1" min="83" max="83" width="7.63" outlineLevel="3"/>
    <col customWidth="1" min="84" max="87" width="7.63" outlineLevel="4"/>
    <col customWidth="1" min="88" max="88" width="7.63" outlineLevel="3"/>
    <col customWidth="1" min="89" max="92" width="7.63" outlineLevel="4"/>
    <col customWidth="1" min="93" max="93" width="9.5" outlineLevel="2"/>
    <col customWidth="1" min="94" max="94" width="7.63" outlineLevel="3"/>
    <col customWidth="1" min="95" max="98" width="7.63" outlineLevel="4"/>
    <col customWidth="1" min="99" max="99" width="7.63" outlineLevel="3"/>
    <col customWidth="1" min="100" max="103" width="7.63" outlineLevel="4"/>
    <col customWidth="1" min="104" max="104" width="7.63" outlineLevel="3"/>
    <col customWidth="1" min="105" max="108" width="7.63" outlineLevel="4"/>
    <col customWidth="1" min="109" max="109" width="12.75" outlineLevel="1"/>
    <col customWidth="1" min="110" max="110" width="9.13" outlineLevel="2"/>
    <col customWidth="1" min="111" max="111" width="6.38" outlineLevel="3"/>
    <col customWidth="1" min="112" max="115" width="7.63" outlineLevel="4"/>
    <col customWidth="1" min="116" max="116" width="7.63" outlineLevel="3"/>
    <col customWidth="1" min="117" max="120" width="7.63" outlineLevel="4"/>
    <col customWidth="1" min="121" max="121" width="7.63" outlineLevel="3"/>
    <col customWidth="1" min="122" max="125" width="7.63" outlineLevel="4"/>
    <col customWidth="1" min="126" max="126" width="9.5" outlineLevel="2"/>
    <col customWidth="1" min="127" max="127" width="7.63" outlineLevel="3"/>
    <col customWidth="1" min="128" max="131" width="7.63" outlineLevel="4"/>
    <col customWidth="1" min="132" max="132" width="7.63" outlineLevel="3"/>
    <col customWidth="1" min="133" max="136" width="7.63" outlineLevel="4"/>
    <col customWidth="1" min="137" max="137" width="7.63" outlineLevel="3"/>
    <col customWidth="1" min="138" max="141" width="7.63" outlineLevel="4"/>
    <col collapsed="1" customWidth="1" min="142" max="142" width="12.75"/>
    <col customWidth="1" hidden="1" min="143" max="143" width="12.75" outlineLevel="1"/>
    <col customWidth="1" hidden="1" min="144" max="144" width="9.13" outlineLevel="2"/>
    <col customWidth="1" hidden="1" min="145" max="145" width="6.38" outlineLevel="3"/>
    <col customWidth="1" hidden="1" min="146" max="149" width="7.63" outlineLevel="4"/>
    <col customWidth="1" hidden="1" min="150" max="150" width="7.63" outlineLevel="3"/>
    <col customWidth="1" hidden="1" min="151" max="154" width="7.63" outlineLevel="4"/>
    <col customWidth="1" hidden="1" min="155" max="155" width="7.63" outlineLevel="3"/>
    <col customWidth="1" hidden="1" min="156" max="159" width="7.63" outlineLevel="4"/>
    <col customWidth="1" hidden="1" min="160" max="160" width="9.5" outlineLevel="2"/>
    <col customWidth="1" hidden="1" min="161" max="161" width="7.63" outlineLevel="3"/>
    <col customWidth="1" hidden="1" min="162" max="165" width="7.63" outlineLevel="4"/>
    <col customWidth="1" hidden="1" min="166" max="166" width="7.63" outlineLevel="3"/>
    <col customWidth="1" hidden="1" min="167" max="170" width="7.63" outlineLevel="4"/>
    <col customWidth="1" hidden="1" min="171" max="171" width="7.63" outlineLevel="3"/>
    <col customWidth="1" hidden="1" min="172" max="175" width="7.63" outlineLevel="4"/>
    <col customWidth="1" hidden="1" min="176" max="176" width="12.75" outlineLevel="1"/>
    <col customWidth="1" hidden="1" min="177" max="177" width="9.13" outlineLevel="2"/>
    <col customWidth="1" hidden="1" min="178" max="178" width="6.38" outlineLevel="3"/>
    <col customWidth="1" hidden="1" min="179" max="182" width="7.63" outlineLevel="4"/>
    <col customWidth="1" hidden="1" min="183" max="183" width="7.63" outlineLevel="3"/>
    <col customWidth="1" hidden="1" min="184" max="187" width="7.63" outlineLevel="4"/>
    <col customWidth="1" hidden="1" min="188" max="188" width="7.63" outlineLevel="3"/>
    <col customWidth="1" hidden="1" min="189" max="192" width="7.63" outlineLevel="4"/>
    <col customWidth="1" hidden="1" min="193" max="193" width="9.5" outlineLevel="2"/>
    <col customWidth="1" hidden="1" min="194" max="194" width="7.63" outlineLevel="3"/>
    <col customWidth="1" hidden="1" min="195" max="198" width="7.63" outlineLevel="4"/>
    <col customWidth="1" hidden="1" min="199" max="199" width="7.63" outlineLevel="3"/>
    <col customWidth="1" hidden="1" min="200" max="203" width="7.63" outlineLevel="4"/>
    <col customWidth="1" hidden="1" min="204" max="204" width="7.63" outlineLevel="3"/>
    <col customWidth="1" hidden="1" min="205" max="208" width="7.63" outlineLevel="4"/>
    <col customWidth="1" min="209" max="209" width="7.63"/>
  </cols>
  <sheetData>
    <row r="1" ht="15.75" customHeight="1">
      <c r="A1" s="114"/>
      <c r="B1" s="114"/>
      <c r="C1" s="114"/>
      <c r="D1" s="114"/>
      <c r="E1" s="115"/>
      <c r="F1" s="116"/>
      <c r="G1" s="115"/>
      <c r="H1" s="115"/>
      <c r="I1" s="115"/>
      <c r="J1" s="115"/>
      <c r="K1" s="115"/>
      <c r="L1" s="117"/>
      <c r="M1" s="117"/>
      <c r="N1" s="117"/>
      <c r="O1" s="117"/>
      <c r="P1" s="117"/>
      <c r="Q1" s="117"/>
      <c r="R1" s="117"/>
      <c r="S1" s="117"/>
      <c r="T1" s="117"/>
      <c r="U1" s="117"/>
      <c r="V1" s="117"/>
      <c r="W1" s="117"/>
      <c r="X1" s="117"/>
      <c r="Y1" s="117"/>
      <c r="Z1" s="117"/>
      <c r="AA1" s="117"/>
      <c r="AB1" s="117"/>
      <c r="AC1" s="117"/>
      <c r="AD1" s="117"/>
      <c r="AE1" s="117"/>
      <c r="AF1" s="117"/>
      <c r="AG1" s="117"/>
      <c r="AH1" s="117"/>
      <c r="AI1" s="117"/>
      <c r="AJ1" s="117"/>
      <c r="AK1" s="117"/>
      <c r="AL1" s="115"/>
      <c r="AM1" s="115"/>
      <c r="AN1" s="115"/>
      <c r="AO1" s="115"/>
      <c r="AP1" s="115"/>
      <c r="AQ1" s="115"/>
      <c r="AR1" s="115"/>
      <c r="AS1" s="117"/>
      <c r="AT1" s="117"/>
      <c r="AU1" s="117"/>
      <c r="AV1" s="117"/>
      <c r="AW1" s="117"/>
      <c r="AX1" s="117"/>
      <c r="AY1" s="117"/>
      <c r="AZ1" s="117"/>
      <c r="BA1" s="117"/>
      <c r="BB1" s="117"/>
      <c r="BC1" s="117"/>
      <c r="BD1" s="117"/>
      <c r="BE1" s="117"/>
      <c r="BF1" s="117"/>
      <c r="BG1" s="117"/>
      <c r="BH1" s="117"/>
      <c r="BI1" s="117"/>
      <c r="BJ1" s="117"/>
      <c r="BK1" s="117"/>
      <c r="BL1" s="117"/>
      <c r="BM1" s="117"/>
      <c r="BN1" s="117"/>
      <c r="BO1" s="117"/>
      <c r="BP1" s="117"/>
      <c r="BQ1" s="117"/>
      <c r="BR1" s="117"/>
      <c r="BS1" s="115"/>
      <c r="BT1" s="115"/>
      <c r="BU1" s="115"/>
      <c r="BV1" s="115"/>
      <c r="BW1" s="115"/>
      <c r="BX1" s="115"/>
      <c r="BY1" s="115"/>
      <c r="BZ1" s="115"/>
      <c r="CA1" s="117"/>
      <c r="CB1" s="117"/>
      <c r="CC1" s="117"/>
      <c r="CD1" s="117"/>
      <c r="CE1" s="117"/>
      <c r="CF1" s="117"/>
      <c r="CG1" s="117"/>
      <c r="CH1" s="117"/>
      <c r="CI1" s="117"/>
      <c r="CJ1" s="117"/>
      <c r="CK1" s="117"/>
      <c r="CL1" s="117"/>
      <c r="CM1" s="117"/>
      <c r="CN1" s="117"/>
      <c r="CO1" s="117"/>
      <c r="CP1" s="117"/>
      <c r="CQ1" s="117"/>
      <c r="CR1" s="117"/>
      <c r="CS1" s="117"/>
      <c r="CT1" s="117"/>
      <c r="CU1" s="117"/>
      <c r="CV1" s="117"/>
      <c r="CW1" s="117"/>
      <c r="CX1" s="117"/>
      <c r="CY1" s="117"/>
      <c r="CZ1" s="117"/>
      <c r="DA1" s="115"/>
      <c r="DB1" s="115"/>
      <c r="DC1" s="115"/>
      <c r="DD1" s="115"/>
      <c r="DE1" s="115"/>
      <c r="DF1" s="115"/>
      <c r="DG1" s="115"/>
      <c r="DH1" s="117"/>
      <c r="DI1" s="117"/>
      <c r="DJ1" s="117"/>
      <c r="DK1" s="117"/>
      <c r="DL1" s="117"/>
      <c r="DM1" s="117"/>
      <c r="DN1" s="117"/>
      <c r="DO1" s="117"/>
      <c r="DP1" s="117"/>
      <c r="DQ1" s="117"/>
      <c r="DR1" s="117"/>
      <c r="DS1" s="117"/>
      <c r="DT1" s="117"/>
      <c r="DU1" s="117"/>
      <c r="DV1" s="117"/>
      <c r="DW1" s="117"/>
      <c r="DX1" s="117"/>
      <c r="DY1" s="117"/>
      <c r="DZ1" s="117"/>
      <c r="EA1" s="117"/>
      <c r="EB1" s="117"/>
      <c r="EC1" s="117"/>
      <c r="ED1" s="117"/>
      <c r="EE1" s="117"/>
      <c r="EF1" s="117"/>
      <c r="EG1" s="117"/>
      <c r="EH1" s="115"/>
      <c r="EI1" s="115"/>
      <c r="EJ1" s="115"/>
      <c r="EK1" s="115"/>
      <c r="EL1" s="115"/>
      <c r="EM1" s="115"/>
      <c r="EN1" s="115"/>
      <c r="EO1" s="115"/>
      <c r="EP1" s="117"/>
      <c r="EQ1" s="117"/>
      <c r="ER1" s="117"/>
      <c r="ES1" s="117"/>
      <c r="ET1" s="117"/>
      <c r="EU1" s="117"/>
      <c r="EV1" s="117"/>
      <c r="EW1" s="117"/>
      <c r="EX1" s="117"/>
      <c r="EY1" s="117"/>
      <c r="EZ1" s="117"/>
      <c r="FA1" s="117"/>
      <c r="FB1" s="117"/>
      <c r="FC1" s="117"/>
      <c r="FD1" s="117"/>
      <c r="FE1" s="117"/>
      <c r="FF1" s="117"/>
      <c r="FG1" s="117"/>
      <c r="FH1" s="117"/>
      <c r="FI1" s="117"/>
      <c r="FJ1" s="117"/>
      <c r="FK1" s="117"/>
      <c r="FL1" s="117"/>
      <c r="FM1" s="117"/>
      <c r="FN1" s="117"/>
      <c r="FO1" s="117"/>
      <c r="FP1" s="115"/>
      <c r="FQ1" s="115"/>
      <c r="FR1" s="115"/>
      <c r="FS1" s="115"/>
      <c r="FT1" s="115"/>
      <c r="FU1" s="115"/>
      <c r="FV1" s="115"/>
      <c r="FW1" s="117"/>
      <c r="FX1" s="117"/>
      <c r="FY1" s="117"/>
      <c r="FZ1" s="117"/>
      <c r="GA1" s="117"/>
      <c r="GB1" s="117"/>
      <c r="GC1" s="117"/>
      <c r="GD1" s="117"/>
      <c r="GE1" s="117"/>
      <c r="GF1" s="117"/>
      <c r="GG1" s="117"/>
      <c r="GH1" s="117"/>
      <c r="GI1" s="117"/>
      <c r="GJ1" s="117"/>
      <c r="GK1" s="117"/>
      <c r="GL1" s="117"/>
      <c r="GM1" s="117"/>
      <c r="GN1" s="117"/>
      <c r="GO1" s="117"/>
      <c r="GP1" s="117"/>
      <c r="GQ1" s="117"/>
      <c r="GR1" s="117"/>
      <c r="GS1" s="117"/>
      <c r="GT1" s="117"/>
      <c r="GU1" s="117"/>
      <c r="GV1" s="117"/>
      <c r="GW1" s="115"/>
      <c r="GX1" s="115"/>
      <c r="GY1" s="115"/>
      <c r="GZ1" s="115"/>
      <c r="HA1" s="116"/>
    </row>
    <row r="2" ht="15.75" customHeight="1">
      <c r="A2" s="114"/>
      <c r="B2" s="6"/>
      <c r="C2" s="6"/>
      <c r="D2" s="6"/>
      <c r="E2" s="124"/>
      <c r="F2" s="125"/>
      <c r="G2" s="126" t="s">
        <v>20</v>
      </c>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c r="BN2" s="63"/>
      <c r="BO2" s="63"/>
      <c r="BP2" s="63"/>
      <c r="BQ2" s="63"/>
      <c r="BR2" s="63"/>
      <c r="BS2" s="63"/>
      <c r="BT2" s="63"/>
      <c r="BU2" s="63"/>
      <c r="BV2" s="63"/>
      <c r="BW2" s="63"/>
      <c r="BX2" s="63"/>
      <c r="BY2" s="63"/>
      <c r="BZ2" s="63"/>
      <c r="CA2" s="63"/>
      <c r="CB2" s="63"/>
      <c r="CC2" s="63"/>
      <c r="CD2" s="63"/>
      <c r="CE2" s="63"/>
      <c r="CF2" s="63"/>
      <c r="CG2" s="63"/>
      <c r="CH2" s="63"/>
      <c r="CI2" s="63"/>
      <c r="CJ2" s="63"/>
      <c r="CK2" s="63"/>
      <c r="CL2" s="63"/>
      <c r="CM2" s="63"/>
      <c r="CN2" s="63"/>
      <c r="CO2" s="63"/>
      <c r="CP2" s="63"/>
      <c r="CQ2" s="63"/>
      <c r="CR2" s="63"/>
      <c r="CS2" s="63"/>
      <c r="CT2" s="63"/>
      <c r="CU2" s="63"/>
      <c r="CV2" s="63"/>
      <c r="CW2" s="63"/>
      <c r="CX2" s="63"/>
      <c r="CY2" s="63"/>
      <c r="CZ2" s="63"/>
      <c r="DA2" s="63"/>
      <c r="DB2" s="63"/>
      <c r="DC2" s="63"/>
      <c r="DD2" s="63"/>
      <c r="DE2" s="63"/>
      <c r="DF2" s="63"/>
      <c r="DG2" s="63"/>
      <c r="DH2" s="63"/>
      <c r="DI2" s="63"/>
      <c r="DJ2" s="63"/>
      <c r="DK2" s="63"/>
      <c r="DL2" s="63"/>
      <c r="DM2" s="63"/>
      <c r="DN2" s="63"/>
      <c r="DO2" s="63"/>
      <c r="DP2" s="63"/>
      <c r="DQ2" s="63"/>
      <c r="DR2" s="63"/>
      <c r="DS2" s="63"/>
      <c r="DT2" s="63"/>
      <c r="DU2" s="63"/>
      <c r="DV2" s="63"/>
      <c r="DW2" s="63"/>
      <c r="DX2" s="63"/>
      <c r="DY2" s="63"/>
      <c r="DZ2" s="63"/>
      <c r="EA2" s="63"/>
      <c r="EB2" s="63"/>
      <c r="EC2" s="63"/>
      <c r="ED2" s="63"/>
      <c r="EE2" s="63"/>
      <c r="EF2" s="63"/>
      <c r="EG2" s="63"/>
      <c r="EH2" s="63"/>
      <c r="EI2" s="63"/>
      <c r="EJ2" s="63"/>
      <c r="EK2" s="63"/>
      <c r="EL2" s="63"/>
      <c r="EM2" s="63"/>
      <c r="EN2" s="63"/>
      <c r="EO2" s="63"/>
      <c r="EP2" s="63"/>
      <c r="EQ2" s="63"/>
      <c r="ER2" s="63"/>
      <c r="ES2" s="63"/>
      <c r="ET2" s="63"/>
      <c r="EU2" s="63"/>
      <c r="EV2" s="63"/>
      <c r="EW2" s="63"/>
      <c r="EX2" s="63"/>
      <c r="EY2" s="63"/>
      <c r="EZ2" s="63"/>
      <c r="FA2" s="63"/>
      <c r="FB2" s="63"/>
      <c r="FC2" s="63"/>
      <c r="FD2" s="63"/>
      <c r="FE2" s="63"/>
      <c r="FF2" s="63"/>
      <c r="FG2" s="63"/>
      <c r="FH2" s="63"/>
      <c r="FI2" s="63"/>
      <c r="FJ2" s="63"/>
      <c r="FK2" s="63"/>
      <c r="FL2" s="63"/>
      <c r="FM2" s="63"/>
      <c r="FN2" s="63"/>
      <c r="FO2" s="63"/>
      <c r="FP2" s="63"/>
      <c r="FQ2" s="63"/>
      <c r="FR2" s="63"/>
      <c r="FS2" s="63"/>
      <c r="FT2" s="63"/>
      <c r="FU2" s="63"/>
      <c r="FV2" s="63"/>
      <c r="FW2" s="63"/>
      <c r="FX2" s="63"/>
      <c r="FY2" s="63"/>
      <c r="FZ2" s="63"/>
      <c r="GA2" s="63"/>
      <c r="GB2" s="63"/>
      <c r="GC2" s="63"/>
      <c r="GD2" s="63"/>
      <c r="GE2" s="63"/>
      <c r="GF2" s="63"/>
      <c r="GG2" s="63"/>
      <c r="GH2" s="63"/>
      <c r="GI2" s="63"/>
      <c r="GJ2" s="63"/>
      <c r="GK2" s="63"/>
      <c r="GL2" s="63"/>
      <c r="GM2" s="63"/>
      <c r="GN2" s="63"/>
      <c r="GO2" s="63"/>
      <c r="GP2" s="63"/>
      <c r="GQ2" s="63"/>
      <c r="GR2" s="63"/>
      <c r="GS2" s="63"/>
      <c r="GT2" s="63"/>
      <c r="GU2" s="63"/>
      <c r="GV2" s="63"/>
      <c r="GW2" s="63"/>
      <c r="GX2" s="63"/>
      <c r="GY2" s="63"/>
      <c r="GZ2" s="66"/>
      <c r="HA2" s="125"/>
    </row>
    <row r="3" ht="15.75" customHeight="1">
      <c r="A3" s="114"/>
      <c r="B3" s="6"/>
      <c r="C3" s="6"/>
      <c r="D3" s="6"/>
      <c r="E3" s="124"/>
      <c r="F3" s="125"/>
      <c r="G3" s="142" t="s">
        <v>10</v>
      </c>
      <c r="H3" s="143" t="s">
        <v>39</v>
      </c>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c r="BN3" s="63"/>
      <c r="BO3" s="63"/>
      <c r="BP3" s="63"/>
      <c r="BQ3" s="63"/>
      <c r="BR3" s="63"/>
      <c r="BS3" s="63"/>
      <c r="BT3" s="63"/>
      <c r="BU3" s="63"/>
      <c r="BV3" s="66"/>
      <c r="BW3" s="143" t="s">
        <v>41</v>
      </c>
      <c r="BX3" s="63"/>
      <c r="BY3" s="63"/>
      <c r="BZ3" s="63"/>
      <c r="CA3" s="63"/>
      <c r="CB3" s="63"/>
      <c r="CC3" s="63"/>
      <c r="CD3" s="63"/>
      <c r="CE3" s="63"/>
      <c r="CF3" s="63"/>
      <c r="CG3" s="63"/>
      <c r="CH3" s="63"/>
      <c r="CI3" s="63"/>
      <c r="CJ3" s="63"/>
      <c r="CK3" s="63"/>
      <c r="CL3" s="63"/>
      <c r="CM3" s="63"/>
      <c r="CN3" s="63"/>
      <c r="CO3" s="63"/>
      <c r="CP3" s="63"/>
      <c r="CQ3" s="63"/>
      <c r="CR3" s="63"/>
      <c r="CS3" s="63"/>
      <c r="CT3" s="63"/>
      <c r="CU3" s="63"/>
      <c r="CV3" s="63"/>
      <c r="CW3" s="63"/>
      <c r="CX3" s="63"/>
      <c r="CY3" s="63"/>
      <c r="CZ3" s="63"/>
      <c r="DA3" s="63"/>
      <c r="DB3" s="63"/>
      <c r="DC3" s="63"/>
      <c r="DD3" s="63"/>
      <c r="DE3" s="63"/>
      <c r="DF3" s="63"/>
      <c r="DG3" s="63"/>
      <c r="DH3" s="63"/>
      <c r="DI3" s="63"/>
      <c r="DJ3" s="63"/>
      <c r="DK3" s="63"/>
      <c r="DL3" s="63"/>
      <c r="DM3" s="63"/>
      <c r="DN3" s="63"/>
      <c r="DO3" s="63"/>
      <c r="DP3" s="63"/>
      <c r="DQ3" s="63"/>
      <c r="DR3" s="63"/>
      <c r="DS3" s="63"/>
      <c r="DT3" s="63"/>
      <c r="DU3" s="63"/>
      <c r="DV3" s="63"/>
      <c r="DW3" s="63"/>
      <c r="DX3" s="63"/>
      <c r="DY3" s="63"/>
      <c r="DZ3" s="63"/>
      <c r="EA3" s="63"/>
      <c r="EB3" s="63"/>
      <c r="EC3" s="63"/>
      <c r="ED3" s="63"/>
      <c r="EE3" s="63"/>
      <c r="EF3" s="63"/>
      <c r="EG3" s="63"/>
      <c r="EH3" s="63"/>
      <c r="EI3" s="63"/>
      <c r="EJ3" s="63"/>
      <c r="EK3" s="66"/>
      <c r="EL3" s="143" t="s">
        <v>43</v>
      </c>
      <c r="EM3" s="63"/>
      <c r="EN3" s="63"/>
      <c r="EO3" s="63"/>
      <c r="EP3" s="63"/>
      <c r="EQ3" s="63"/>
      <c r="ER3" s="63"/>
      <c r="ES3" s="63"/>
      <c r="ET3" s="63"/>
      <c r="EU3" s="63"/>
      <c r="EV3" s="63"/>
      <c r="EW3" s="63"/>
      <c r="EX3" s="63"/>
      <c r="EY3" s="63"/>
      <c r="EZ3" s="63"/>
      <c r="FA3" s="63"/>
      <c r="FB3" s="63"/>
      <c r="FC3" s="63"/>
      <c r="FD3" s="63"/>
      <c r="FE3" s="63"/>
      <c r="FF3" s="63"/>
      <c r="FG3" s="63"/>
      <c r="FH3" s="63"/>
      <c r="FI3" s="63"/>
      <c r="FJ3" s="63"/>
      <c r="FK3" s="63"/>
      <c r="FL3" s="63"/>
      <c r="FM3" s="63"/>
      <c r="FN3" s="63"/>
      <c r="FO3" s="63"/>
      <c r="FP3" s="63"/>
      <c r="FQ3" s="63"/>
      <c r="FR3" s="63"/>
      <c r="FS3" s="63"/>
      <c r="FT3" s="63"/>
      <c r="FU3" s="63"/>
      <c r="FV3" s="63"/>
      <c r="FW3" s="63"/>
      <c r="FX3" s="63"/>
      <c r="FY3" s="63"/>
      <c r="FZ3" s="63"/>
      <c r="GA3" s="63"/>
      <c r="GB3" s="63"/>
      <c r="GC3" s="63"/>
      <c r="GD3" s="63"/>
      <c r="GE3" s="63"/>
      <c r="GF3" s="63"/>
      <c r="GG3" s="63"/>
      <c r="GH3" s="63"/>
      <c r="GI3" s="63"/>
      <c r="GJ3" s="63"/>
      <c r="GK3" s="63"/>
      <c r="GL3" s="63"/>
      <c r="GM3" s="63"/>
      <c r="GN3" s="63"/>
      <c r="GO3" s="63"/>
      <c r="GP3" s="63"/>
      <c r="GQ3" s="63"/>
      <c r="GR3" s="63"/>
      <c r="GS3" s="63"/>
      <c r="GT3" s="63"/>
      <c r="GU3" s="63"/>
      <c r="GV3" s="63"/>
      <c r="GW3" s="63"/>
      <c r="GX3" s="63"/>
      <c r="GY3" s="63"/>
      <c r="GZ3" s="66"/>
      <c r="HA3" s="125"/>
    </row>
    <row r="4" ht="15.75" customHeight="1">
      <c r="A4" s="114"/>
      <c r="B4" s="6"/>
      <c r="C4" s="6"/>
      <c r="D4" s="6"/>
      <c r="E4" s="124"/>
      <c r="F4" s="125"/>
      <c r="G4" s="82"/>
      <c r="H4" s="149" t="s">
        <v>10</v>
      </c>
      <c r="I4" s="150" t="s">
        <v>45</v>
      </c>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6"/>
      <c r="AP4" s="150" t="s">
        <v>47</v>
      </c>
      <c r="AQ4" s="63"/>
      <c r="AR4" s="63"/>
      <c r="AS4" s="63"/>
      <c r="AT4" s="63"/>
      <c r="AU4" s="63"/>
      <c r="AV4" s="63"/>
      <c r="AW4" s="63"/>
      <c r="AX4" s="63"/>
      <c r="AY4" s="63"/>
      <c r="AZ4" s="63"/>
      <c r="BA4" s="63"/>
      <c r="BB4" s="63"/>
      <c r="BC4" s="63"/>
      <c r="BD4" s="63"/>
      <c r="BE4" s="63"/>
      <c r="BF4" s="63"/>
      <c r="BG4" s="63"/>
      <c r="BH4" s="63"/>
      <c r="BI4" s="63"/>
      <c r="BJ4" s="63"/>
      <c r="BK4" s="63"/>
      <c r="BL4" s="63"/>
      <c r="BM4" s="63"/>
      <c r="BN4" s="63"/>
      <c r="BO4" s="63"/>
      <c r="BP4" s="63"/>
      <c r="BQ4" s="63"/>
      <c r="BR4" s="63"/>
      <c r="BS4" s="63"/>
      <c r="BT4" s="63"/>
      <c r="BU4" s="63"/>
      <c r="BV4" s="66"/>
      <c r="BW4" s="149" t="s">
        <v>10</v>
      </c>
      <c r="BX4" s="150" t="s">
        <v>48</v>
      </c>
      <c r="BY4" s="63"/>
      <c r="BZ4" s="63"/>
      <c r="CA4" s="63"/>
      <c r="CB4" s="63"/>
      <c r="CC4" s="63"/>
      <c r="CD4" s="63"/>
      <c r="CE4" s="63"/>
      <c r="CF4" s="63"/>
      <c r="CG4" s="63"/>
      <c r="CH4" s="63"/>
      <c r="CI4" s="63"/>
      <c r="CJ4" s="63"/>
      <c r="CK4" s="63"/>
      <c r="CL4" s="63"/>
      <c r="CM4" s="63"/>
      <c r="CN4" s="63"/>
      <c r="CO4" s="63"/>
      <c r="CP4" s="63"/>
      <c r="CQ4" s="63"/>
      <c r="CR4" s="63"/>
      <c r="CS4" s="63"/>
      <c r="CT4" s="63"/>
      <c r="CU4" s="63"/>
      <c r="CV4" s="63"/>
      <c r="CW4" s="63"/>
      <c r="CX4" s="63"/>
      <c r="CY4" s="63"/>
      <c r="CZ4" s="63"/>
      <c r="DA4" s="63"/>
      <c r="DB4" s="63"/>
      <c r="DC4" s="63"/>
      <c r="DD4" s="66"/>
      <c r="DE4" s="150" t="s">
        <v>49</v>
      </c>
      <c r="DF4" s="63"/>
      <c r="DG4" s="63"/>
      <c r="DH4" s="63"/>
      <c r="DI4" s="63"/>
      <c r="DJ4" s="63"/>
      <c r="DK4" s="63"/>
      <c r="DL4" s="63"/>
      <c r="DM4" s="63"/>
      <c r="DN4" s="63"/>
      <c r="DO4" s="63"/>
      <c r="DP4" s="63"/>
      <c r="DQ4" s="63"/>
      <c r="DR4" s="63"/>
      <c r="DS4" s="63"/>
      <c r="DT4" s="63"/>
      <c r="DU4" s="63"/>
      <c r="DV4" s="63"/>
      <c r="DW4" s="63"/>
      <c r="DX4" s="63"/>
      <c r="DY4" s="63"/>
      <c r="DZ4" s="63"/>
      <c r="EA4" s="63"/>
      <c r="EB4" s="63"/>
      <c r="EC4" s="63"/>
      <c r="ED4" s="63"/>
      <c r="EE4" s="63"/>
      <c r="EF4" s="63"/>
      <c r="EG4" s="63"/>
      <c r="EH4" s="63"/>
      <c r="EI4" s="63"/>
      <c r="EJ4" s="63"/>
      <c r="EK4" s="66"/>
      <c r="EL4" s="149" t="s">
        <v>10</v>
      </c>
      <c r="EM4" s="150" t="s">
        <v>50</v>
      </c>
      <c r="EN4" s="63"/>
      <c r="EO4" s="63"/>
      <c r="EP4" s="63"/>
      <c r="EQ4" s="63"/>
      <c r="ER4" s="63"/>
      <c r="ES4" s="63"/>
      <c r="ET4" s="63"/>
      <c r="EU4" s="63"/>
      <c r="EV4" s="63"/>
      <c r="EW4" s="63"/>
      <c r="EX4" s="63"/>
      <c r="EY4" s="63"/>
      <c r="EZ4" s="63"/>
      <c r="FA4" s="63"/>
      <c r="FB4" s="63"/>
      <c r="FC4" s="63"/>
      <c r="FD4" s="63"/>
      <c r="FE4" s="63"/>
      <c r="FF4" s="63"/>
      <c r="FG4" s="63"/>
      <c r="FH4" s="63"/>
      <c r="FI4" s="63"/>
      <c r="FJ4" s="63"/>
      <c r="FK4" s="63"/>
      <c r="FL4" s="63"/>
      <c r="FM4" s="63"/>
      <c r="FN4" s="63"/>
      <c r="FO4" s="63"/>
      <c r="FP4" s="63"/>
      <c r="FQ4" s="63"/>
      <c r="FR4" s="63"/>
      <c r="FS4" s="66"/>
      <c r="FT4" s="150" t="s">
        <v>51</v>
      </c>
      <c r="FU4" s="63"/>
      <c r="FV4" s="63"/>
      <c r="FW4" s="63"/>
      <c r="FX4" s="63"/>
      <c r="FY4" s="63"/>
      <c r="FZ4" s="63"/>
      <c r="GA4" s="63"/>
      <c r="GB4" s="63"/>
      <c r="GC4" s="63"/>
      <c r="GD4" s="63"/>
      <c r="GE4" s="63"/>
      <c r="GF4" s="63"/>
      <c r="GG4" s="63"/>
      <c r="GH4" s="63"/>
      <c r="GI4" s="63"/>
      <c r="GJ4" s="63"/>
      <c r="GK4" s="63"/>
      <c r="GL4" s="63"/>
      <c r="GM4" s="63"/>
      <c r="GN4" s="63"/>
      <c r="GO4" s="63"/>
      <c r="GP4" s="63"/>
      <c r="GQ4" s="63"/>
      <c r="GR4" s="63"/>
      <c r="GS4" s="63"/>
      <c r="GT4" s="63"/>
      <c r="GU4" s="63"/>
      <c r="GV4" s="63"/>
      <c r="GW4" s="63"/>
      <c r="GX4" s="63"/>
      <c r="GY4" s="63"/>
      <c r="GZ4" s="66"/>
      <c r="HA4" s="125"/>
    </row>
    <row r="5" ht="15.75" customHeight="1">
      <c r="A5" s="114"/>
      <c r="B5" s="6"/>
      <c r="C5" s="6"/>
      <c r="D5" s="6"/>
      <c r="E5" s="124"/>
      <c r="F5" s="125"/>
      <c r="G5" s="82"/>
      <c r="H5" s="82"/>
      <c r="I5" s="161" t="s">
        <v>10</v>
      </c>
      <c r="J5" s="162" t="s">
        <v>25</v>
      </c>
      <c r="K5" s="63"/>
      <c r="L5" s="63"/>
      <c r="M5" s="63"/>
      <c r="N5" s="63"/>
      <c r="O5" s="63"/>
      <c r="P5" s="63"/>
      <c r="Q5" s="63"/>
      <c r="R5" s="63"/>
      <c r="S5" s="63"/>
      <c r="T5" s="63"/>
      <c r="U5" s="63"/>
      <c r="V5" s="63"/>
      <c r="W5" s="63"/>
      <c r="X5" s="63"/>
      <c r="Y5" s="66"/>
      <c r="Z5" s="162" t="s">
        <v>6</v>
      </c>
      <c r="AA5" s="63"/>
      <c r="AB5" s="63"/>
      <c r="AC5" s="63"/>
      <c r="AD5" s="63"/>
      <c r="AE5" s="63"/>
      <c r="AF5" s="63"/>
      <c r="AG5" s="63"/>
      <c r="AH5" s="63"/>
      <c r="AI5" s="63"/>
      <c r="AJ5" s="63"/>
      <c r="AK5" s="63"/>
      <c r="AL5" s="63"/>
      <c r="AM5" s="63"/>
      <c r="AN5" s="63"/>
      <c r="AO5" s="66"/>
      <c r="AP5" s="161" t="s">
        <v>10</v>
      </c>
      <c r="AQ5" s="162" t="s">
        <v>27</v>
      </c>
      <c r="AR5" s="63"/>
      <c r="AS5" s="63"/>
      <c r="AT5" s="63"/>
      <c r="AU5" s="63"/>
      <c r="AV5" s="63"/>
      <c r="AW5" s="63"/>
      <c r="AX5" s="63"/>
      <c r="AY5" s="63"/>
      <c r="AZ5" s="63"/>
      <c r="BA5" s="63"/>
      <c r="BB5" s="63"/>
      <c r="BC5" s="63"/>
      <c r="BD5" s="63"/>
      <c r="BE5" s="63"/>
      <c r="BF5" s="66"/>
      <c r="BG5" s="162" t="s">
        <v>28</v>
      </c>
      <c r="BH5" s="63"/>
      <c r="BI5" s="63"/>
      <c r="BJ5" s="63"/>
      <c r="BK5" s="63"/>
      <c r="BL5" s="63"/>
      <c r="BM5" s="63"/>
      <c r="BN5" s="63"/>
      <c r="BO5" s="63"/>
      <c r="BP5" s="63"/>
      <c r="BQ5" s="63"/>
      <c r="BR5" s="63"/>
      <c r="BS5" s="63"/>
      <c r="BT5" s="63"/>
      <c r="BU5" s="63"/>
      <c r="BV5" s="66"/>
      <c r="BW5" s="82"/>
      <c r="BX5" s="161" t="s">
        <v>10</v>
      </c>
      <c r="BY5" s="162" t="s">
        <v>29</v>
      </c>
      <c r="BZ5" s="63"/>
      <c r="CA5" s="63"/>
      <c r="CB5" s="63"/>
      <c r="CC5" s="63"/>
      <c r="CD5" s="63"/>
      <c r="CE5" s="63"/>
      <c r="CF5" s="63"/>
      <c r="CG5" s="63"/>
      <c r="CH5" s="63"/>
      <c r="CI5" s="63"/>
      <c r="CJ5" s="63"/>
      <c r="CK5" s="63"/>
      <c r="CL5" s="63"/>
      <c r="CM5" s="63"/>
      <c r="CN5" s="66"/>
      <c r="CO5" s="162" t="s">
        <v>30</v>
      </c>
      <c r="CP5" s="63"/>
      <c r="CQ5" s="63"/>
      <c r="CR5" s="63"/>
      <c r="CS5" s="63"/>
      <c r="CT5" s="63"/>
      <c r="CU5" s="63"/>
      <c r="CV5" s="63"/>
      <c r="CW5" s="63"/>
      <c r="CX5" s="63"/>
      <c r="CY5" s="63"/>
      <c r="CZ5" s="63"/>
      <c r="DA5" s="63"/>
      <c r="DB5" s="63"/>
      <c r="DC5" s="63"/>
      <c r="DD5" s="66"/>
      <c r="DE5" s="161" t="s">
        <v>10</v>
      </c>
      <c r="DF5" s="162" t="s">
        <v>31</v>
      </c>
      <c r="DG5" s="63"/>
      <c r="DH5" s="63"/>
      <c r="DI5" s="63"/>
      <c r="DJ5" s="63"/>
      <c r="DK5" s="63"/>
      <c r="DL5" s="63"/>
      <c r="DM5" s="63"/>
      <c r="DN5" s="63"/>
      <c r="DO5" s="63"/>
      <c r="DP5" s="63"/>
      <c r="DQ5" s="63"/>
      <c r="DR5" s="63"/>
      <c r="DS5" s="63"/>
      <c r="DT5" s="63"/>
      <c r="DU5" s="66"/>
      <c r="DV5" s="162" t="s">
        <v>32</v>
      </c>
      <c r="DW5" s="63"/>
      <c r="DX5" s="63"/>
      <c r="DY5" s="63"/>
      <c r="DZ5" s="63"/>
      <c r="EA5" s="63"/>
      <c r="EB5" s="63"/>
      <c r="EC5" s="63"/>
      <c r="ED5" s="63"/>
      <c r="EE5" s="63"/>
      <c r="EF5" s="63"/>
      <c r="EG5" s="63"/>
      <c r="EH5" s="63"/>
      <c r="EI5" s="63"/>
      <c r="EJ5" s="63"/>
      <c r="EK5" s="66"/>
      <c r="EL5" s="82"/>
      <c r="EM5" s="161" t="s">
        <v>10</v>
      </c>
      <c r="EN5" s="162" t="s">
        <v>33</v>
      </c>
      <c r="EO5" s="63"/>
      <c r="EP5" s="63"/>
      <c r="EQ5" s="63"/>
      <c r="ER5" s="63"/>
      <c r="ES5" s="63"/>
      <c r="ET5" s="63"/>
      <c r="EU5" s="63"/>
      <c r="EV5" s="63"/>
      <c r="EW5" s="63"/>
      <c r="EX5" s="63"/>
      <c r="EY5" s="63"/>
      <c r="EZ5" s="63"/>
      <c r="FA5" s="63"/>
      <c r="FB5" s="63"/>
      <c r="FC5" s="66"/>
      <c r="FD5" s="162" t="s">
        <v>34</v>
      </c>
      <c r="FE5" s="63"/>
      <c r="FF5" s="63"/>
      <c r="FG5" s="63"/>
      <c r="FH5" s="63"/>
      <c r="FI5" s="63"/>
      <c r="FJ5" s="63"/>
      <c r="FK5" s="63"/>
      <c r="FL5" s="63"/>
      <c r="FM5" s="63"/>
      <c r="FN5" s="63"/>
      <c r="FO5" s="63"/>
      <c r="FP5" s="63"/>
      <c r="FQ5" s="63"/>
      <c r="FR5" s="63"/>
      <c r="FS5" s="66"/>
      <c r="FT5" s="161" t="s">
        <v>10</v>
      </c>
      <c r="FU5" s="162" t="s">
        <v>35</v>
      </c>
      <c r="FV5" s="63"/>
      <c r="FW5" s="63"/>
      <c r="FX5" s="63"/>
      <c r="FY5" s="63"/>
      <c r="FZ5" s="63"/>
      <c r="GA5" s="63"/>
      <c r="GB5" s="63"/>
      <c r="GC5" s="63"/>
      <c r="GD5" s="63"/>
      <c r="GE5" s="63"/>
      <c r="GF5" s="63"/>
      <c r="GG5" s="63"/>
      <c r="GH5" s="63"/>
      <c r="GI5" s="63"/>
      <c r="GJ5" s="66"/>
      <c r="GK5" s="162" t="s">
        <v>36</v>
      </c>
      <c r="GL5" s="63"/>
      <c r="GM5" s="63"/>
      <c r="GN5" s="63"/>
      <c r="GO5" s="63"/>
      <c r="GP5" s="63"/>
      <c r="GQ5" s="63"/>
      <c r="GR5" s="63"/>
      <c r="GS5" s="63"/>
      <c r="GT5" s="63"/>
      <c r="GU5" s="63"/>
      <c r="GV5" s="63"/>
      <c r="GW5" s="63"/>
      <c r="GX5" s="63"/>
      <c r="GY5" s="63"/>
      <c r="GZ5" s="66"/>
      <c r="HA5" s="125"/>
    </row>
    <row r="6" ht="15.75" customHeight="1">
      <c r="A6" s="114"/>
      <c r="B6" s="170"/>
      <c r="C6" s="63"/>
      <c r="D6" s="66"/>
      <c r="E6" s="171"/>
      <c r="F6" s="125"/>
      <c r="G6" s="82"/>
      <c r="H6" s="82"/>
      <c r="I6" s="82"/>
      <c r="J6" s="172" t="s">
        <v>10</v>
      </c>
      <c r="K6" s="173" t="s">
        <v>56</v>
      </c>
      <c r="L6" s="63"/>
      <c r="M6" s="63"/>
      <c r="N6" s="63"/>
      <c r="O6" s="66"/>
      <c r="P6" s="173" t="s">
        <v>57</v>
      </c>
      <c r="Q6" s="63"/>
      <c r="R6" s="63"/>
      <c r="S6" s="63"/>
      <c r="T6" s="66"/>
      <c r="U6" s="174" t="s">
        <v>58</v>
      </c>
      <c r="V6" s="63"/>
      <c r="W6" s="63"/>
      <c r="X6" s="63"/>
      <c r="Y6" s="66"/>
      <c r="Z6" s="172" t="s">
        <v>10</v>
      </c>
      <c r="AA6" s="174" t="s">
        <v>59</v>
      </c>
      <c r="AB6" s="63"/>
      <c r="AC6" s="63"/>
      <c r="AD6" s="63"/>
      <c r="AE6" s="66"/>
      <c r="AF6" s="174" t="s">
        <v>61</v>
      </c>
      <c r="AG6" s="63"/>
      <c r="AH6" s="63"/>
      <c r="AI6" s="63"/>
      <c r="AJ6" s="66"/>
      <c r="AK6" s="174" t="s">
        <v>62</v>
      </c>
      <c r="AL6" s="63"/>
      <c r="AM6" s="63"/>
      <c r="AN6" s="63"/>
      <c r="AO6" s="66"/>
      <c r="AP6" s="82"/>
      <c r="AQ6" s="172" t="s">
        <v>10</v>
      </c>
      <c r="AR6" s="174" t="s">
        <v>63</v>
      </c>
      <c r="AS6" s="63"/>
      <c r="AT6" s="63"/>
      <c r="AU6" s="63"/>
      <c r="AV6" s="66"/>
      <c r="AW6" s="174" t="s">
        <v>64</v>
      </c>
      <c r="AX6" s="63"/>
      <c r="AY6" s="63"/>
      <c r="AZ6" s="63"/>
      <c r="BA6" s="66"/>
      <c r="BB6" s="174" t="s">
        <v>65</v>
      </c>
      <c r="BC6" s="63"/>
      <c r="BD6" s="63"/>
      <c r="BE6" s="63"/>
      <c r="BF6" s="66"/>
      <c r="BG6" s="172" t="s">
        <v>10</v>
      </c>
      <c r="BH6" s="174" t="s">
        <v>66</v>
      </c>
      <c r="BI6" s="63"/>
      <c r="BJ6" s="63"/>
      <c r="BK6" s="63"/>
      <c r="BL6" s="66"/>
      <c r="BM6" s="174" t="s">
        <v>67</v>
      </c>
      <c r="BN6" s="63"/>
      <c r="BO6" s="63"/>
      <c r="BP6" s="63"/>
      <c r="BQ6" s="66"/>
      <c r="BR6" s="174" t="s">
        <v>68</v>
      </c>
      <c r="BS6" s="63"/>
      <c r="BT6" s="63"/>
      <c r="BU6" s="63"/>
      <c r="BV6" s="66"/>
      <c r="BW6" s="82"/>
      <c r="BX6" s="82"/>
      <c r="BY6" s="172" t="s">
        <v>10</v>
      </c>
      <c r="BZ6" s="174" t="s">
        <v>69</v>
      </c>
      <c r="CA6" s="63"/>
      <c r="CB6" s="63"/>
      <c r="CC6" s="63"/>
      <c r="CD6" s="66"/>
      <c r="CE6" s="174" t="s">
        <v>70</v>
      </c>
      <c r="CF6" s="63"/>
      <c r="CG6" s="63"/>
      <c r="CH6" s="63"/>
      <c r="CI6" s="66"/>
      <c r="CJ6" s="174" t="s">
        <v>71</v>
      </c>
      <c r="CK6" s="63"/>
      <c r="CL6" s="63"/>
      <c r="CM6" s="63"/>
      <c r="CN6" s="66"/>
      <c r="CO6" s="172" t="s">
        <v>10</v>
      </c>
      <c r="CP6" s="174" t="s">
        <v>72</v>
      </c>
      <c r="CQ6" s="63"/>
      <c r="CR6" s="63"/>
      <c r="CS6" s="63"/>
      <c r="CT6" s="66"/>
      <c r="CU6" s="174" t="s">
        <v>73</v>
      </c>
      <c r="CV6" s="63"/>
      <c r="CW6" s="63"/>
      <c r="CX6" s="63"/>
      <c r="CY6" s="66"/>
      <c r="CZ6" s="174" t="s">
        <v>75</v>
      </c>
      <c r="DA6" s="63"/>
      <c r="DB6" s="63"/>
      <c r="DC6" s="63"/>
      <c r="DD6" s="66"/>
      <c r="DE6" s="82"/>
      <c r="DF6" s="172" t="s">
        <v>10</v>
      </c>
      <c r="DG6" s="174" t="s">
        <v>76</v>
      </c>
      <c r="DH6" s="63"/>
      <c r="DI6" s="63"/>
      <c r="DJ6" s="63"/>
      <c r="DK6" s="66"/>
      <c r="DL6" s="174" t="s">
        <v>77</v>
      </c>
      <c r="DM6" s="63"/>
      <c r="DN6" s="63"/>
      <c r="DO6" s="63"/>
      <c r="DP6" s="66"/>
      <c r="DQ6" s="174" t="s">
        <v>78</v>
      </c>
      <c r="DR6" s="63"/>
      <c r="DS6" s="63"/>
      <c r="DT6" s="63"/>
      <c r="DU6" s="66"/>
      <c r="DV6" s="172" t="s">
        <v>10</v>
      </c>
      <c r="DW6" s="174" t="s">
        <v>79</v>
      </c>
      <c r="DX6" s="63"/>
      <c r="DY6" s="63"/>
      <c r="DZ6" s="63"/>
      <c r="EA6" s="66"/>
      <c r="EB6" s="174" t="s">
        <v>80</v>
      </c>
      <c r="EC6" s="63"/>
      <c r="ED6" s="63"/>
      <c r="EE6" s="63"/>
      <c r="EF6" s="66"/>
      <c r="EG6" s="174" t="s">
        <v>81</v>
      </c>
      <c r="EH6" s="63"/>
      <c r="EI6" s="63"/>
      <c r="EJ6" s="63"/>
      <c r="EK6" s="66"/>
      <c r="EL6" s="82"/>
      <c r="EM6" s="82"/>
      <c r="EN6" s="172" t="s">
        <v>10</v>
      </c>
      <c r="EO6" s="174" t="s">
        <v>82</v>
      </c>
      <c r="EP6" s="63"/>
      <c r="EQ6" s="63"/>
      <c r="ER6" s="63"/>
      <c r="ES6" s="66"/>
      <c r="ET6" s="174" t="s">
        <v>83</v>
      </c>
      <c r="EU6" s="63"/>
      <c r="EV6" s="63"/>
      <c r="EW6" s="63"/>
      <c r="EX6" s="66"/>
      <c r="EY6" s="174" t="s">
        <v>84</v>
      </c>
      <c r="EZ6" s="63"/>
      <c r="FA6" s="63"/>
      <c r="FB6" s="63"/>
      <c r="FC6" s="66"/>
      <c r="FD6" s="172" t="s">
        <v>10</v>
      </c>
      <c r="FE6" s="174" t="s">
        <v>85</v>
      </c>
      <c r="FF6" s="63"/>
      <c r="FG6" s="63"/>
      <c r="FH6" s="63"/>
      <c r="FI6" s="66"/>
      <c r="FJ6" s="174" t="s">
        <v>86</v>
      </c>
      <c r="FK6" s="63"/>
      <c r="FL6" s="63"/>
      <c r="FM6" s="63"/>
      <c r="FN6" s="66"/>
      <c r="FO6" s="174" t="s">
        <v>87</v>
      </c>
      <c r="FP6" s="63"/>
      <c r="FQ6" s="63"/>
      <c r="FR6" s="63"/>
      <c r="FS6" s="66"/>
      <c r="FT6" s="82"/>
      <c r="FU6" s="172" t="s">
        <v>10</v>
      </c>
      <c r="FV6" s="174" t="s">
        <v>89</v>
      </c>
      <c r="FW6" s="63"/>
      <c r="FX6" s="63"/>
      <c r="FY6" s="63"/>
      <c r="FZ6" s="66"/>
      <c r="GA6" s="174" t="s">
        <v>90</v>
      </c>
      <c r="GB6" s="63"/>
      <c r="GC6" s="63"/>
      <c r="GD6" s="63"/>
      <c r="GE6" s="66"/>
      <c r="GF6" s="174" t="s">
        <v>91</v>
      </c>
      <c r="GG6" s="63"/>
      <c r="GH6" s="63"/>
      <c r="GI6" s="63"/>
      <c r="GJ6" s="66"/>
      <c r="GK6" s="172" t="s">
        <v>10</v>
      </c>
      <c r="GL6" s="174" t="s">
        <v>92</v>
      </c>
      <c r="GM6" s="63"/>
      <c r="GN6" s="63"/>
      <c r="GO6" s="63"/>
      <c r="GP6" s="66"/>
      <c r="GQ6" s="174" t="s">
        <v>93</v>
      </c>
      <c r="GR6" s="63"/>
      <c r="GS6" s="63"/>
      <c r="GT6" s="63"/>
      <c r="GU6" s="66"/>
      <c r="GV6" s="174" t="s">
        <v>94</v>
      </c>
      <c r="GW6" s="63"/>
      <c r="GX6" s="63"/>
      <c r="GY6" s="63"/>
      <c r="GZ6" s="66"/>
      <c r="HA6" s="125"/>
    </row>
    <row r="7" ht="15.75" customHeight="1">
      <c r="A7" s="114"/>
      <c r="B7" s="180"/>
      <c r="C7" s="66"/>
      <c r="D7" s="181" t="s">
        <v>7</v>
      </c>
      <c r="E7" s="182"/>
      <c r="F7" s="125"/>
      <c r="G7" s="183" t="s">
        <v>20</v>
      </c>
      <c r="H7" s="184" t="s">
        <v>39</v>
      </c>
      <c r="I7" s="185" t="s">
        <v>45</v>
      </c>
      <c r="J7" s="186" t="s">
        <v>25</v>
      </c>
      <c r="K7" s="187" t="s">
        <v>56</v>
      </c>
      <c r="L7" s="188" t="s">
        <v>95</v>
      </c>
      <c r="M7" s="188" t="s">
        <v>96</v>
      </c>
      <c r="N7" s="188" t="s">
        <v>97</v>
      </c>
      <c r="O7" s="188" t="s">
        <v>98</v>
      </c>
      <c r="P7" s="187" t="s">
        <v>57</v>
      </c>
      <c r="Q7" s="188" t="s">
        <v>99</v>
      </c>
      <c r="R7" s="188" t="s">
        <v>100</v>
      </c>
      <c r="S7" s="188" t="s">
        <v>102</v>
      </c>
      <c r="T7" s="188" t="s">
        <v>103</v>
      </c>
      <c r="U7" s="187" t="s">
        <v>58</v>
      </c>
      <c r="V7" s="188" t="s">
        <v>104</v>
      </c>
      <c r="W7" s="188" t="s">
        <v>105</v>
      </c>
      <c r="X7" s="188" t="s">
        <v>106</v>
      </c>
      <c r="Y7" s="188" t="s">
        <v>107</v>
      </c>
      <c r="Z7" s="186" t="s">
        <v>6</v>
      </c>
      <c r="AA7" s="187" t="s">
        <v>59</v>
      </c>
      <c r="AB7" s="188" t="s">
        <v>108</v>
      </c>
      <c r="AC7" s="188" t="s">
        <v>110</v>
      </c>
      <c r="AD7" s="188" t="s">
        <v>111</v>
      </c>
      <c r="AE7" s="188" t="s">
        <v>112</v>
      </c>
      <c r="AF7" s="187" t="s">
        <v>61</v>
      </c>
      <c r="AG7" s="190" t="s">
        <v>113</v>
      </c>
      <c r="AH7" s="190" t="s">
        <v>114</v>
      </c>
      <c r="AI7" s="190" t="s">
        <v>115</v>
      </c>
      <c r="AJ7" s="190" t="s">
        <v>116</v>
      </c>
      <c r="AK7" s="187" t="s">
        <v>62</v>
      </c>
      <c r="AL7" s="190" t="s">
        <v>117</v>
      </c>
      <c r="AM7" s="190" t="s">
        <v>118</v>
      </c>
      <c r="AN7" s="190" t="s">
        <v>119</v>
      </c>
      <c r="AO7" s="190" t="s">
        <v>120</v>
      </c>
      <c r="AP7" s="185" t="s">
        <v>47</v>
      </c>
      <c r="AQ7" s="186" t="s">
        <v>27</v>
      </c>
      <c r="AR7" s="187" t="s">
        <v>63</v>
      </c>
      <c r="AS7" s="190" t="s">
        <v>121</v>
      </c>
      <c r="AT7" s="190" t="s">
        <v>122</v>
      </c>
      <c r="AU7" s="190" t="s">
        <v>123</v>
      </c>
      <c r="AV7" s="190" t="s">
        <v>124</v>
      </c>
      <c r="AW7" s="187" t="s">
        <v>64</v>
      </c>
      <c r="AX7" s="190" t="s">
        <v>125</v>
      </c>
      <c r="AY7" s="190" t="s">
        <v>126</v>
      </c>
      <c r="AZ7" s="190" t="s">
        <v>127</v>
      </c>
      <c r="BA7" s="190" t="s">
        <v>128</v>
      </c>
      <c r="BB7" s="187" t="s">
        <v>65</v>
      </c>
      <c r="BC7" s="190" t="s">
        <v>129</v>
      </c>
      <c r="BD7" s="190" t="s">
        <v>130</v>
      </c>
      <c r="BE7" s="190" t="s">
        <v>131</v>
      </c>
      <c r="BF7" s="190" t="s">
        <v>132</v>
      </c>
      <c r="BG7" s="186" t="s">
        <v>28</v>
      </c>
      <c r="BH7" s="187" t="s">
        <v>66</v>
      </c>
      <c r="BI7" s="190" t="s">
        <v>133</v>
      </c>
      <c r="BJ7" s="190" t="s">
        <v>134</v>
      </c>
      <c r="BK7" s="190" t="s">
        <v>135</v>
      </c>
      <c r="BL7" s="190" t="s">
        <v>136</v>
      </c>
      <c r="BM7" s="187" t="s">
        <v>67</v>
      </c>
      <c r="BN7" s="190" t="s">
        <v>137</v>
      </c>
      <c r="BO7" s="190" t="s">
        <v>138</v>
      </c>
      <c r="BP7" s="190" t="s">
        <v>139</v>
      </c>
      <c r="BQ7" s="190" t="s">
        <v>140</v>
      </c>
      <c r="BR7" s="187" t="s">
        <v>68</v>
      </c>
      <c r="BS7" s="190" t="s">
        <v>141</v>
      </c>
      <c r="BT7" s="190" t="s">
        <v>142</v>
      </c>
      <c r="BU7" s="190" t="s">
        <v>143</v>
      </c>
      <c r="BV7" s="190" t="s">
        <v>144</v>
      </c>
      <c r="BW7" s="184" t="s">
        <v>41</v>
      </c>
      <c r="BX7" s="185" t="s">
        <v>48</v>
      </c>
      <c r="BY7" s="186" t="s">
        <v>29</v>
      </c>
      <c r="BZ7" s="187" t="s">
        <v>69</v>
      </c>
      <c r="CA7" s="190" t="s">
        <v>146</v>
      </c>
      <c r="CB7" s="190" t="s">
        <v>147</v>
      </c>
      <c r="CC7" s="190" t="s">
        <v>148</v>
      </c>
      <c r="CD7" s="190" t="s">
        <v>149</v>
      </c>
      <c r="CE7" s="187" t="s">
        <v>70</v>
      </c>
      <c r="CF7" s="190" t="s">
        <v>150</v>
      </c>
      <c r="CG7" s="190" t="s">
        <v>151</v>
      </c>
      <c r="CH7" s="190" t="s">
        <v>152</v>
      </c>
      <c r="CI7" s="190" t="s">
        <v>153</v>
      </c>
      <c r="CJ7" s="187" t="s">
        <v>71</v>
      </c>
      <c r="CK7" s="190" t="s">
        <v>154</v>
      </c>
      <c r="CL7" s="190" t="s">
        <v>155</v>
      </c>
      <c r="CM7" s="190" t="s">
        <v>156</v>
      </c>
      <c r="CN7" s="190" t="s">
        <v>157</v>
      </c>
      <c r="CO7" s="186" t="s">
        <v>30</v>
      </c>
      <c r="CP7" s="187" t="s">
        <v>72</v>
      </c>
      <c r="CQ7" s="190" t="s">
        <v>158</v>
      </c>
      <c r="CR7" s="190" t="s">
        <v>159</v>
      </c>
      <c r="CS7" s="190" t="s">
        <v>160</v>
      </c>
      <c r="CT7" s="190" t="s">
        <v>161</v>
      </c>
      <c r="CU7" s="187" t="s">
        <v>73</v>
      </c>
      <c r="CV7" s="190" t="s">
        <v>162</v>
      </c>
      <c r="CW7" s="190" t="s">
        <v>163</v>
      </c>
      <c r="CX7" s="190" t="s">
        <v>164</v>
      </c>
      <c r="CY7" s="190" t="s">
        <v>165</v>
      </c>
      <c r="CZ7" s="187" t="s">
        <v>75</v>
      </c>
      <c r="DA7" s="190" t="s">
        <v>167</v>
      </c>
      <c r="DB7" s="190" t="s">
        <v>168</v>
      </c>
      <c r="DC7" s="190" t="s">
        <v>169</v>
      </c>
      <c r="DD7" s="190" t="s">
        <v>170</v>
      </c>
      <c r="DE7" s="185" t="s">
        <v>49</v>
      </c>
      <c r="DF7" s="186" t="s">
        <v>31</v>
      </c>
      <c r="DG7" s="187" t="s">
        <v>76</v>
      </c>
      <c r="DH7" s="190" t="s">
        <v>171</v>
      </c>
      <c r="DI7" s="190" t="s">
        <v>172</v>
      </c>
      <c r="DJ7" s="190" t="s">
        <v>173</v>
      </c>
      <c r="DK7" s="190" t="s">
        <v>174</v>
      </c>
      <c r="DL7" s="187" t="s">
        <v>77</v>
      </c>
      <c r="DM7" s="190" t="s">
        <v>175</v>
      </c>
      <c r="DN7" s="190" t="s">
        <v>176</v>
      </c>
      <c r="DO7" s="190" t="s">
        <v>177</v>
      </c>
      <c r="DP7" s="190" t="s">
        <v>178</v>
      </c>
      <c r="DQ7" s="187" t="s">
        <v>78</v>
      </c>
      <c r="DR7" s="190" t="s">
        <v>179</v>
      </c>
      <c r="DS7" s="190" t="s">
        <v>180</v>
      </c>
      <c r="DT7" s="190" t="s">
        <v>181</v>
      </c>
      <c r="DU7" s="190" t="s">
        <v>182</v>
      </c>
      <c r="DV7" s="186" t="s">
        <v>32</v>
      </c>
      <c r="DW7" s="187" t="s">
        <v>79</v>
      </c>
      <c r="DX7" s="190" t="s">
        <v>183</v>
      </c>
      <c r="DY7" s="190" t="s">
        <v>184</v>
      </c>
      <c r="DZ7" s="190" t="s">
        <v>185</v>
      </c>
      <c r="EA7" s="190" t="s">
        <v>186</v>
      </c>
      <c r="EB7" s="187" t="s">
        <v>80</v>
      </c>
      <c r="EC7" s="190" t="s">
        <v>187</v>
      </c>
      <c r="ED7" s="190" t="s">
        <v>188</v>
      </c>
      <c r="EE7" s="190" t="s">
        <v>189</v>
      </c>
      <c r="EF7" s="190" t="s">
        <v>190</v>
      </c>
      <c r="EG7" s="187" t="s">
        <v>81</v>
      </c>
      <c r="EH7" s="190" t="s">
        <v>191</v>
      </c>
      <c r="EI7" s="190" t="s">
        <v>192</v>
      </c>
      <c r="EJ7" s="190" t="s">
        <v>193</v>
      </c>
      <c r="EK7" s="190" t="s">
        <v>194</v>
      </c>
      <c r="EL7" s="184" t="s">
        <v>43</v>
      </c>
      <c r="EM7" s="185" t="s">
        <v>50</v>
      </c>
      <c r="EN7" s="186" t="s">
        <v>33</v>
      </c>
      <c r="EO7" s="187" t="s">
        <v>82</v>
      </c>
      <c r="EP7" s="190" t="s">
        <v>195</v>
      </c>
      <c r="EQ7" s="190" t="s">
        <v>196</v>
      </c>
      <c r="ER7" s="190" t="s">
        <v>197</v>
      </c>
      <c r="ES7" s="190" t="s">
        <v>198</v>
      </c>
      <c r="ET7" s="187" t="s">
        <v>83</v>
      </c>
      <c r="EU7" s="190" t="s">
        <v>199</v>
      </c>
      <c r="EV7" s="190" t="s">
        <v>200</v>
      </c>
      <c r="EW7" s="190" t="s">
        <v>201</v>
      </c>
      <c r="EX7" s="190" t="s">
        <v>202</v>
      </c>
      <c r="EY7" s="187" t="s">
        <v>84</v>
      </c>
      <c r="EZ7" s="190" t="s">
        <v>203</v>
      </c>
      <c r="FA7" s="190" t="s">
        <v>204</v>
      </c>
      <c r="FB7" s="190" t="s">
        <v>205</v>
      </c>
      <c r="FC7" s="190" t="s">
        <v>206</v>
      </c>
      <c r="FD7" s="186" t="s">
        <v>34</v>
      </c>
      <c r="FE7" s="187" t="s">
        <v>85</v>
      </c>
      <c r="FF7" s="190" t="s">
        <v>207</v>
      </c>
      <c r="FG7" s="190" t="s">
        <v>208</v>
      </c>
      <c r="FH7" s="190" t="s">
        <v>209</v>
      </c>
      <c r="FI7" s="190" t="s">
        <v>210</v>
      </c>
      <c r="FJ7" s="187" t="s">
        <v>86</v>
      </c>
      <c r="FK7" s="190" t="s">
        <v>211</v>
      </c>
      <c r="FL7" s="190" t="s">
        <v>212</v>
      </c>
      <c r="FM7" s="190" t="s">
        <v>213</v>
      </c>
      <c r="FN7" s="190" t="s">
        <v>214</v>
      </c>
      <c r="FO7" s="187" t="s">
        <v>87</v>
      </c>
      <c r="FP7" s="190" t="s">
        <v>215</v>
      </c>
      <c r="FQ7" s="190" t="s">
        <v>216</v>
      </c>
      <c r="FR7" s="190" t="s">
        <v>217</v>
      </c>
      <c r="FS7" s="190" t="s">
        <v>218</v>
      </c>
      <c r="FT7" s="185" t="s">
        <v>51</v>
      </c>
      <c r="FU7" s="186" t="s">
        <v>35</v>
      </c>
      <c r="FV7" s="187" t="s">
        <v>89</v>
      </c>
      <c r="FW7" s="190" t="s">
        <v>219</v>
      </c>
      <c r="FX7" s="190" t="s">
        <v>220</v>
      </c>
      <c r="FY7" s="190" t="s">
        <v>221</v>
      </c>
      <c r="FZ7" s="190" t="s">
        <v>222</v>
      </c>
      <c r="GA7" s="187" t="s">
        <v>90</v>
      </c>
      <c r="GB7" s="190" t="s">
        <v>223</v>
      </c>
      <c r="GC7" s="190" t="s">
        <v>224</v>
      </c>
      <c r="GD7" s="190" t="s">
        <v>225</v>
      </c>
      <c r="GE7" s="190" t="s">
        <v>226</v>
      </c>
      <c r="GF7" s="187" t="s">
        <v>91</v>
      </c>
      <c r="GG7" s="190" t="s">
        <v>227</v>
      </c>
      <c r="GH7" s="190" t="s">
        <v>228</v>
      </c>
      <c r="GI7" s="190" t="s">
        <v>229</v>
      </c>
      <c r="GJ7" s="190" t="s">
        <v>230</v>
      </c>
      <c r="GK7" s="186" t="s">
        <v>36</v>
      </c>
      <c r="GL7" s="187" t="s">
        <v>92</v>
      </c>
      <c r="GM7" s="190" t="s">
        <v>231</v>
      </c>
      <c r="GN7" s="190" t="s">
        <v>232</v>
      </c>
      <c r="GO7" s="190" t="s">
        <v>233</v>
      </c>
      <c r="GP7" s="190" t="s">
        <v>234</v>
      </c>
      <c r="GQ7" s="187" t="s">
        <v>93</v>
      </c>
      <c r="GR7" s="190" t="s">
        <v>235</v>
      </c>
      <c r="GS7" s="190" t="s">
        <v>236</v>
      </c>
      <c r="GT7" s="190" t="s">
        <v>237</v>
      </c>
      <c r="GU7" s="190" t="s">
        <v>238</v>
      </c>
      <c r="GV7" s="187" t="s">
        <v>94</v>
      </c>
      <c r="GW7" s="190" t="s">
        <v>239</v>
      </c>
      <c r="GX7" s="190" t="s">
        <v>240</v>
      </c>
      <c r="GY7" s="190" t="s">
        <v>241</v>
      </c>
      <c r="GZ7" s="190" t="s">
        <v>242</v>
      </c>
      <c r="HA7" s="125"/>
    </row>
    <row r="8" ht="15.75" customHeight="1">
      <c r="A8" s="195"/>
      <c r="B8" s="197" t="s">
        <v>17</v>
      </c>
      <c r="C8" s="87">
        <v>1.0</v>
      </c>
      <c r="D8" s="102" t="s">
        <v>18</v>
      </c>
      <c r="E8" s="80" t="s">
        <v>19</v>
      </c>
      <c r="F8" s="198"/>
      <c r="G8" s="199">
        <f>Metrika!G9/Metrika!G8</f>
        <v>0.9997619048</v>
      </c>
      <c r="H8" s="200">
        <f>Metrika!H9/Metrika!H8</f>
        <v>0.9997619048</v>
      </c>
      <c r="I8" s="201">
        <f>Metrika!I9/Metrika!I8</f>
        <v>0.9997619048</v>
      </c>
      <c r="J8" s="202">
        <f>Metrika!J9/Metrika!J8</f>
        <v>1.001904762</v>
      </c>
      <c r="K8" s="203">
        <f>Metrika!K9/Metrika!K8</f>
        <v>0.9928571429</v>
      </c>
      <c r="L8" s="204">
        <f>Metrika!L9/Metrika!L8</f>
        <v>0.9714285714</v>
      </c>
      <c r="M8" s="204">
        <f>Metrika!M9/Metrika!M8</f>
        <v>0.9942857143</v>
      </c>
      <c r="N8" s="204">
        <f>Metrika!N9/Metrika!N8</f>
        <v>1.005714286</v>
      </c>
      <c r="O8" s="204">
        <f>Metrika!O9/Metrika!O8</f>
        <v>1</v>
      </c>
      <c r="P8" s="203">
        <f>Metrika!P9/Metrika!P8</f>
        <v>1.001428571</v>
      </c>
      <c r="Q8" s="204">
        <f>Metrika!Q9/Metrika!Q8</f>
        <v>1.028571429</v>
      </c>
      <c r="R8" s="204">
        <f>Metrika!R9/Metrika!R8</f>
        <v>1.017142857</v>
      </c>
      <c r="S8" s="204">
        <f>Metrika!S9/Metrika!S8</f>
        <v>0.9714285714</v>
      </c>
      <c r="T8" s="204">
        <f>Metrika!T9/Metrika!T8</f>
        <v>0.9885714286</v>
      </c>
      <c r="U8" s="203">
        <f>Metrika!U9/Metrika!U8</f>
        <v>1.011428571</v>
      </c>
      <c r="V8" s="204">
        <f>Metrika!V9/Metrika!V8</f>
        <v>1.011428571</v>
      </c>
      <c r="W8" s="204">
        <f>Metrika!W9/Metrika!W8</f>
        <v>1.034285714</v>
      </c>
      <c r="X8" s="204">
        <f>Metrika!X9/Metrika!X8</f>
        <v>1.028571429</v>
      </c>
      <c r="Y8" s="204">
        <f>Metrika!Y9/Metrika!Y8</f>
        <v>0.9714285714</v>
      </c>
      <c r="Z8" s="202">
        <f>Metrika!Z9/Metrika!Z8</f>
        <v>0.9976190476</v>
      </c>
      <c r="AA8" s="203">
        <f>Metrika!AA9/Metrika!AA8</f>
        <v>1.005714286</v>
      </c>
      <c r="AB8" s="204">
        <f>Metrika!AB9/Metrika!AB8</f>
        <v>0.9942857143</v>
      </c>
      <c r="AC8" s="204">
        <f>Metrika!AC9/Metrika!AC8</f>
        <v>1</v>
      </c>
      <c r="AD8" s="204">
        <f>Metrika!AD9/Metrika!AD8</f>
        <v>1.011428571</v>
      </c>
      <c r="AE8" s="204">
        <f>Metrika!AE9/Metrika!AE8</f>
        <v>1.017142857</v>
      </c>
      <c r="AF8" s="203">
        <f>Metrika!AF9/Metrika!AF8</f>
        <v>0.9857142857</v>
      </c>
      <c r="AG8" s="204">
        <f>Metrika!AG9/Metrika!AG8</f>
        <v>0.9714285714</v>
      </c>
      <c r="AH8" s="204">
        <f>Metrika!AH9/Metrika!AH8</f>
        <v>0.9771428571</v>
      </c>
      <c r="AI8" s="204">
        <f>Metrika!AI9/Metrika!AI8</f>
        <v>0.9885714286</v>
      </c>
      <c r="AJ8" s="204">
        <f>Metrika!AJ9/Metrika!AJ8</f>
        <v>1.005714286</v>
      </c>
      <c r="AK8" s="203">
        <f>Metrika!AK9/Metrika!AK8</f>
        <v>1.001428571</v>
      </c>
      <c r="AL8" s="204">
        <f>Metrika!AL9/Metrika!AL8</f>
        <v>0.9942857143</v>
      </c>
      <c r="AM8" s="204">
        <f>Metrika!AM9/Metrika!AM8</f>
        <v>1.011428571</v>
      </c>
      <c r="AN8" s="204">
        <f>Metrika!AN9/Metrika!AN8</f>
        <v>0.9828571429</v>
      </c>
      <c r="AO8" s="204">
        <f>Metrika!AO9/Metrika!AO8</f>
        <v>1.017142857</v>
      </c>
      <c r="AP8" s="201">
        <f>Metrika!AP9/Metrika!AP8</f>
        <v>0.9997619048</v>
      </c>
      <c r="AQ8" s="202">
        <f>Metrika!AQ9/Metrika!AQ8</f>
        <v>0.9976190476</v>
      </c>
      <c r="AR8" s="203">
        <f>Metrika!AR9/Metrika!AR8</f>
        <v>1.001428571</v>
      </c>
      <c r="AS8" s="204">
        <f>Metrika!AS9/Metrika!AS8</f>
        <v>0.9942857143</v>
      </c>
      <c r="AT8" s="204">
        <f>Metrika!AT9/Metrika!AT8</f>
        <v>1.011428571</v>
      </c>
      <c r="AU8" s="204">
        <f>Metrika!AU9/Metrika!AU8</f>
        <v>0.9828571429</v>
      </c>
      <c r="AV8" s="204">
        <f>Metrika!AV9/Metrika!AV8</f>
        <v>1.017142857</v>
      </c>
      <c r="AW8" s="203">
        <f>Metrika!AW9/Metrika!AW8</f>
        <v>1.005714286</v>
      </c>
      <c r="AX8" s="204">
        <f>Metrika!AX9/Metrika!AX8</f>
        <v>0.9942857143</v>
      </c>
      <c r="AY8" s="204">
        <f>Metrika!AY9/Metrika!AY8</f>
        <v>1</v>
      </c>
      <c r="AZ8" s="204">
        <f>Metrika!AZ9/Metrika!AZ8</f>
        <v>1.011428571</v>
      </c>
      <c r="BA8" s="204">
        <f>Metrika!BA9/Metrika!BA8</f>
        <v>1.017142857</v>
      </c>
      <c r="BB8" s="203">
        <f>Metrika!BB9/Metrika!BB8</f>
        <v>0.9857142857</v>
      </c>
      <c r="BC8" s="204">
        <f>Metrika!BC9/Metrika!BC8</f>
        <v>0.9714285714</v>
      </c>
      <c r="BD8" s="204">
        <f>Metrika!BD9/Metrika!BD8</f>
        <v>0.9771428571</v>
      </c>
      <c r="BE8" s="204">
        <f>Metrika!BE9/Metrika!BE8</f>
        <v>0.9885714286</v>
      </c>
      <c r="BF8" s="204">
        <f>Metrika!BF9/Metrika!BF8</f>
        <v>1.005714286</v>
      </c>
      <c r="BG8" s="202">
        <f>Metrika!BG9/Metrika!BG8</f>
        <v>1.001904762</v>
      </c>
      <c r="BH8" s="203">
        <f>Metrika!BH9/Metrika!BH8</f>
        <v>1.001428571</v>
      </c>
      <c r="BI8" s="204">
        <f>Metrika!BI9/Metrika!BI8</f>
        <v>1.028571429</v>
      </c>
      <c r="BJ8" s="204">
        <f>Metrika!BJ9/Metrika!BJ8</f>
        <v>1.017142857</v>
      </c>
      <c r="BK8" s="204">
        <f>Metrika!BK9/Metrika!BK8</f>
        <v>0.9714285714</v>
      </c>
      <c r="BL8" s="204">
        <f>Metrika!BL9/Metrika!BL8</f>
        <v>0.9885714286</v>
      </c>
      <c r="BM8" s="203">
        <f>Metrika!BM9/Metrika!BM8</f>
        <v>1.011428571</v>
      </c>
      <c r="BN8" s="204">
        <f>Metrika!BN9/Metrika!BN8</f>
        <v>1.011428571</v>
      </c>
      <c r="BO8" s="204">
        <f>Metrika!BO9/Metrika!BO8</f>
        <v>1.034285714</v>
      </c>
      <c r="BP8" s="204">
        <f>Metrika!BP9/Metrika!BP8</f>
        <v>1.028571429</v>
      </c>
      <c r="BQ8" s="204">
        <f>Metrika!BQ9/Metrika!BQ8</f>
        <v>0.9714285714</v>
      </c>
      <c r="BR8" s="203">
        <f>Metrika!BR9/Metrika!BR8</f>
        <v>0.9928571429</v>
      </c>
      <c r="BS8" s="204">
        <f>Metrika!BS9/Metrika!BS8</f>
        <v>0.9714285714</v>
      </c>
      <c r="BT8" s="204">
        <f>Metrika!BT9/Metrika!BT8</f>
        <v>0.9942857143</v>
      </c>
      <c r="BU8" s="204">
        <f>Metrika!BU9/Metrika!BU8</f>
        <v>1.005714286</v>
      </c>
      <c r="BV8" s="204">
        <f>Metrika!BV9/Metrika!BV8</f>
        <v>1</v>
      </c>
      <c r="BW8" s="200">
        <f>Metrika!BW9/Metrika!BW8</f>
        <v>0.9997619048</v>
      </c>
      <c r="BX8" s="201">
        <f>Metrika!BX9/Metrika!BX8</f>
        <v>0.9997619048</v>
      </c>
      <c r="BY8" s="202">
        <f>Metrika!BY9/Metrika!BY8</f>
        <v>0.9976190476</v>
      </c>
      <c r="BZ8" s="203">
        <f>Metrika!BZ9/Metrika!BZ8</f>
        <v>0.9857142857</v>
      </c>
      <c r="CA8" s="204">
        <f>Metrika!CA9/Metrika!CA8</f>
        <v>0.9714285714</v>
      </c>
      <c r="CB8" s="204">
        <f>Metrika!CB9/Metrika!CB8</f>
        <v>0.9771428571</v>
      </c>
      <c r="CC8" s="204">
        <f>Metrika!CC9/Metrika!CC8</f>
        <v>0.9885714286</v>
      </c>
      <c r="CD8" s="204">
        <f>Metrika!CD9/Metrika!CD8</f>
        <v>1.005714286</v>
      </c>
      <c r="CE8" s="203">
        <f>Metrika!CE9/Metrika!CE8</f>
        <v>1.001428571</v>
      </c>
      <c r="CF8" s="204">
        <f>Metrika!CF9/Metrika!CF8</f>
        <v>0.9942857143</v>
      </c>
      <c r="CG8" s="204">
        <f>Metrika!CG9/Metrika!CG8</f>
        <v>1.011428571</v>
      </c>
      <c r="CH8" s="204">
        <f>Metrika!CH9/Metrika!CH8</f>
        <v>0.9828571429</v>
      </c>
      <c r="CI8" s="204">
        <f>Metrika!CI9/Metrika!CI8</f>
        <v>1.017142857</v>
      </c>
      <c r="CJ8" s="203">
        <f>Metrika!CJ9/Metrika!CJ8</f>
        <v>1.005714286</v>
      </c>
      <c r="CK8" s="204">
        <f>Metrika!CK9/Metrika!CK8</f>
        <v>0.9942857143</v>
      </c>
      <c r="CL8" s="204">
        <f>Metrika!CL9/Metrika!CL8</f>
        <v>1</v>
      </c>
      <c r="CM8" s="204">
        <f>Metrika!CM9/Metrika!CM8</f>
        <v>1.011428571</v>
      </c>
      <c r="CN8" s="204">
        <f>Metrika!CN9/Metrika!CN8</f>
        <v>1.017142857</v>
      </c>
      <c r="CO8" s="202">
        <f>Metrika!CO9/Metrika!CO8</f>
        <v>1.001904762</v>
      </c>
      <c r="CP8" s="203">
        <f>Metrika!CP9/Metrika!CP8</f>
        <v>0.9928571429</v>
      </c>
      <c r="CQ8" s="204">
        <f>Metrika!CQ9/Metrika!CQ8</f>
        <v>0.9714285714</v>
      </c>
      <c r="CR8" s="204">
        <f>Metrika!CR9/Metrika!CR8</f>
        <v>0.9942857143</v>
      </c>
      <c r="CS8" s="204">
        <f>Metrika!CS9/Metrika!CS8</f>
        <v>1.005714286</v>
      </c>
      <c r="CT8" s="204">
        <f>Metrika!CT9/Metrika!CT8</f>
        <v>1</v>
      </c>
      <c r="CU8" s="203">
        <f>Metrika!CU9/Metrika!CU8</f>
        <v>1.001428571</v>
      </c>
      <c r="CV8" s="204">
        <f>Metrika!CV9/Metrika!CV8</f>
        <v>1.028571429</v>
      </c>
      <c r="CW8" s="204">
        <f>Metrika!CW9/Metrika!CW8</f>
        <v>1.017142857</v>
      </c>
      <c r="CX8" s="204">
        <f>Metrika!CX9/Metrika!CX8</f>
        <v>0.9714285714</v>
      </c>
      <c r="CY8" s="204">
        <f>Metrika!CY9/Metrika!CY8</f>
        <v>0.9885714286</v>
      </c>
      <c r="CZ8" s="203">
        <f>Metrika!CZ9/Metrika!CZ8</f>
        <v>1.011428571</v>
      </c>
      <c r="DA8" s="204">
        <f>Metrika!DA9/Metrika!DA8</f>
        <v>1.011428571</v>
      </c>
      <c r="DB8" s="204">
        <f>Metrika!DB9/Metrika!DB8</f>
        <v>1.034285714</v>
      </c>
      <c r="DC8" s="204">
        <f>Metrika!DC9/Metrika!DC8</f>
        <v>1.028571429</v>
      </c>
      <c r="DD8" s="204">
        <f>Metrika!DD9/Metrika!DD8</f>
        <v>0.9714285714</v>
      </c>
      <c r="DE8" s="201">
        <f>Metrika!DE9/Metrika!DE8</f>
        <v>0.9997619048</v>
      </c>
      <c r="DF8" s="202">
        <f>Metrika!DF9/Metrika!DF8</f>
        <v>1.001904762</v>
      </c>
      <c r="DG8" s="203">
        <f>Metrika!DG9/Metrika!DG8</f>
        <v>1.011428571</v>
      </c>
      <c r="DH8" s="204">
        <f>Metrika!DH9/Metrika!DH8</f>
        <v>1.011428571</v>
      </c>
      <c r="DI8" s="204">
        <f>Metrika!DI9/Metrika!DI8</f>
        <v>1.034285714</v>
      </c>
      <c r="DJ8" s="204">
        <f>Metrika!DJ9/Metrika!DJ8</f>
        <v>1.028571429</v>
      </c>
      <c r="DK8" s="204">
        <f>Metrika!DK9/Metrika!DK8</f>
        <v>0.9714285714</v>
      </c>
      <c r="DL8" s="203">
        <f>Metrika!DL9/Metrika!DL8</f>
        <v>0.9928571429</v>
      </c>
      <c r="DM8" s="204">
        <f>Metrika!DM9/Metrika!DM8</f>
        <v>0.9714285714</v>
      </c>
      <c r="DN8" s="204">
        <f>Metrika!DN9/Metrika!DN8</f>
        <v>0.9942857143</v>
      </c>
      <c r="DO8" s="204">
        <f>Metrika!DO9/Metrika!DO8</f>
        <v>1.005714286</v>
      </c>
      <c r="DP8" s="204">
        <f>Metrika!DP9/Metrika!DP8</f>
        <v>1</v>
      </c>
      <c r="DQ8" s="203">
        <f>Metrika!DQ9/Metrika!DQ8</f>
        <v>1.001428571</v>
      </c>
      <c r="DR8" s="204">
        <f>Metrika!DR9/Metrika!DR8</f>
        <v>1.028571429</v>
      </c>
      <c r="DS8" s="204">
        <f>Metrika!DS9/Metrika!DS8</f>
        <v>1.017142857</v>
      </c>
      <c r="DT8" s="204">
        <f>Metrika!DT9/Metrika!DT8</f>
        <v>0.9714285714</v>
      </c>
      <c r="DU8" s="204">
        <f>Metrika!DU9/Metrika!DU8</f>
        <v>0.9885714286</v>
      </c>
      <c r="DV8" s="202">
        <f>Metrika!DV9/Metrika!DV8</f>
        <v>0.9976190476</v>
      </c>
      <c r="DW8" s="203">
        <f>Metrika!DW9/Metrika!DW8</f>
        <v>1.001428571</v>
      </c>
      <c r="DX8" s="204">
        <f>Metrika!DX9/Metrika!DX8</f>
        <v>0.9942857143</v>
      </c>
      <c r="DY8" s="204">
        <f>Metrika!DY9/Metrika!DY8</f>
        <v>1.011428571</v>
      </c>
      <c r="DZ8" s="204">
        <f>Metrika!DZ9/Metrika!DZ8</f>
        <v>0.9828571429</v>
      </c>
      <c r="EA8" s="204">
        <f>Metrika!EA9/Metrika!EA8</f>
        <v>1.017142857</v>
      </c>
      <c r="EB8" s="203">
        <f>Metrika!EB9/Metrika!EB8</f>
        <v>0.9857142857</v>
      </c>
      <c r="EC8" s="204">
        <f>Metrika!EC9/Metrika!EC8</f>
        <v>0.9714285714</v>
      </c>
      <c r="ED8" s="204">
        <f>Metrika!ED9/Metrika!ED8</f>
        <v>0.9771428571</v>
      </c>
      <c r="EE8" s="204">
        <f>Metrika!EE9/Metrika!EE8</f>
        <v>0.9885714286</v>
      </c>
      <c r="EF8" s="204">
        <f>Metrika!EF9/Metrika!EF8</f>
        <v>1.005714286</v>
      </c>
      <c r="EG8" s="203">
        <f>Metrika!EG9/Metrika!EG8</f>
        <v>1.005714286</v>
      </c>
      <c r="EH8" s="204">
        <f>Metrika!EH9/Metrika!EH8</f>
        <v>0.9942857143</v>
      </c>
      <c r="EI8" s="204">
        <f>Metrika!EI9/Metrika!EI8</f>
        <v>1</v>
      </c>
      <c r="EJ8" s="204">
        <f>Metrika!EJ9/Metrika!EJ8</f>
        <v>1.011428571</v>
      </c>
      <c r="EK8" s="204">
        <f>Metrika!EK9/Metrika!EK8</f>
        <v>1.017142857</v>
      </c>
      <c r="EL8" s="200">
        <f>Metrika!EL9/Metrika!EL8</f>
        <v>0.9997619048</v>
      </c>
      <c r="EM8" s="201">
        <f>Metrika!EM9/Metrika!EM8</f>
        <v>0.9997619048</v>
      </c>
      <c r="EN8" s="202">
        <f>Metrika!EN9/Metrika!EN8</f>
        <v>0.9976190476</v>
      </c>
      <c r="EO8" s="203">
        <f>Metrika!EO9/Metrika!EO8</f>
        <v>0.9857142857</v>
      </c>
      <c r="EP8" s="204">
        <f>Metrika!EP9/Metrika!EP8</f>
        <v>0.9714285714</v>
      </c>
      <c r="EQ8" s="204">
        <f>Metrika!EQ9/Metrika!EQ8</f>
        <v>0.9771428571</v>
      </c>
      <c r="ER8" s="204">
        <f>Metrika!ER9/Metrika!ER8</f>
        <v>0.9885714286</v>
      </c>
      <c r="ES8" s="204">
        <f>Metrika!ES9/Metrika!ES8</f>
        <v>1.005714286</v>
      </c>
      <c r="ET8" s="203">
        <f>Metrika!ET9/Metrika!ET8</f>
        <v>1.005714286</v>
      </c>
      <c r="EU8" s="204">
        <f>Metrika!EU9/Metrika!EU8</f>
        <v>0.9942857143</v>
      </c>
      <c r="EV8" s="204">
        <f>Metrika!EV9/Metrika!EV8</f>
        <v>1</v>
      </c>
      <c r="EW8" s="204">
        <f>Metrika!EW9/Metrika!EW8</f>
        <v>1.011428571</v>
      </c>
      <c r="EX8" s="204">
        <f>Metrika!EX9/Metrika!EX8</f>
        <v>1.017142857</v>
      </c>
      <c r="EY8" s="203">
        <f>Metrika!EY9/Metrika!EY8</f>
        <v>1.001428571</v>
      </c>
      <c r="EZ8" s="204">
        <f>Metrika!EZ9/Metrika!EZ8</f>
        <v>0.9942857143</v>
      </c>
      <c r="FA8" s="204">
        <f>Metrika!FA9/Metrika!FA8</f>
        <v>1.011428571</v>
      </c>
      <c r="FB8" s="204">
        <f>Metrika!FB9/Metrika!FB8</f>
        <v>0.9828571429</v>
      </c>
      <c r="FC8" s="204">
        <f>Metrika!FC9/Metrika!FC8</f>
        <v>1.017142857</v>
      </c>
      <c r="FD8" s="202">
        <f>Metrika!FD9/Metrika!FD8</f>
        <v>1.001904762</v>
      </c>
      <c r="FE8" s="203">
        <f>Metrika!FE9/Metrika!FE8</f>
        <v>0.9928571429</v>
      </c>
      <c r="FF8" s="204">
        <f>Metrika!FF9/Metrika!FF8</f>
        <v>0.9714285714</v>
      </c>
      <c r="FG8" s="204">
        <f>Metrika!FG9/Metrika!FG8</f>
        <v>0.9942857143</v>
      </c>
      <c r="FH8" s="204">
        <f>Metrika!FH9/Metrika!FH8</f>
        <v>1.005714286</v>
      </c>
      <c r="FI8" s="204">
        <f>Metrika!FI9/Metrika!FI8</f>
        <v>1</v>
      </c>
      <c r="FJ8" s="203">
        <f>Metrika!FJ9/Metrika!FJ8</f>
        <v>1.001428571</v>
      </c>
      <c r="FK8" s="204">
        <f>Metrika!FK9/Metrika!FK8</f>
        <v>1.028571429</v>
      </c>
      <c r="FL8" s="204">
        <f>Metrika!FL9/Metrika!FL8</f>
        <v>1.017142857</v>
      </c>
      <c r="FM8" s="204">
        <f>Metrika!FM9/Metrika!FM8</f>
        <v>0.9714285714</v>
      </c>
      <c r="FN8" s="204">
        <f>Metrika!FN9/Metrika!FN8</f>
        <v>0.9885714286</v>
      </c>
      <c r="FO8" s="203">
        <f>Metrika!FO9/Metrika!FO8</f>
        <v>1.011428571</v>
      </c>
      <c r="FP8" s="204">
        <f>Metrika!FP9/Metrika!FP8</f>
        <v>1.011428571</v>
      </c>
      <c r="FQ8" s="204">
        <f>Metrika!FQ9/Metrika!FQ8</f>
        <v>1.034285714</v>
      </c>
      <c r="FR8" s="204">
        <f>Metrika!FR9/Metrika!FR8</f>
        <v>1.028571429</v>
      </c>
      <c r="FS8" s="204">
        <f>Metrika!FS9/Metrika!FS8</f>
        <v>0.9714285714</v>
      </c>
      <c r="FT8" s="201">
        <f>Metrika!FT9/Metrika!FT8</f>
        <v>0.9997619048</v>
      </c>
      <c r="FU8" s="202">
        <f>Metrika!FU9/Metrika!FU8</f>
        <v>1.001904762</v>
      </c>
      <c r="FV8" s="203">
        <f>Metrika!FV9/Metrika!FV8</f>
        <v>1.011428571</v>
      </c>
      <c r="FW8" s="204">
        <f>Metrika!FW9/Metrika!FW8</f>
        <v>1.011428571</v>
      </c>
      <c r="FX8" s="204">
        <f>Metrika!FX9/Metrika!FX8</f>
        <v>1.034285714</v>
      </c>
      <c r="FY8" s="204">
        <f>Metrika!FY9/Metrika!FY8</f>
        <v>1.028571429</v>
      </c>
      <c r="FZ8" s="204">
        <f>Metrika!FZ9/Metrika!FZ8</f>
        <v>0.9714285714</v>
      </c>
      <c r="GA8" s="203">
        <f>Metrika!GA9/Metrika!GA8</f>
        <v>0.9928571429</v>
      </c>
      <c r="GB8" s="204">
        <f>Metrika!GB9/Metrika!GB8</f>
        <v>0.9714285714</v>
      </c>
      <c r="GC8" s="204">
        <f>Metrika!GC9/Metrika!GC8</f>
        <v>0.9942857143</v>
      </c>
      <c r="GD8" s="204">
        <f>Metrika!GD9/Metrika!GD8</f>
        <v>1.005714286</v>
      </c>
      <c r="GE8" s="204">
        <f>Metrika!GE9/Metrika!GE8</f>
        <v>1</v>
      </c>
      <c r="GF8" s="203">
        <f>Metrika!GF9/Metrika!GF8</f>
        <v>1.001428571</v>
      </c>
      <c r="GG8" s="204">
        <f>Metrika!GG9/Metrika!GG8</f>
        <v>1.028571429</v>
      </c>
      <c r="GH8" s="204">
        <f>Metrika!GH9/Metrika!GH8</f>
        <v>1.017142857</v>
      </c>
      <c r="GI8" s="204">
        <f>Metrika!GI9/Metrika!GI8</f>
        <v>0.9714285714</v>
      </c>
      <c r="GJ8" s="204">
        <f>Metrika!GJ9/Metrika!GJ8</f>
        <v>0.9885714286</v>
      </c>
      <c r="GK8" s="202">
        <f>Metrika!GK9/Metrika!GK8</f>
        <v>0.9976190476</v>
      </c>
      <c r="GL8" s="203">
        <f>Metrika!GL9/Metrika!GL8</f>
        <v>1.005714286</v>
      </c>
      <c r="GM8" s="204">
        <f>Metrika!GM9/Metrika!GM8</f>
        <v>0.9942857143</v>
      </c>
      <c r="GN8" s="204">
        <f>Metrika!GN9/Metrika!GN8</f>
        <v>1</v>
      </c>
      <c r="GO8" s="204">
        <f>Metrika!GO9/Metrika!GO8</f>
        <v>1.011428571</v>
      </c>
      <c r="GP8" s="204">
        <f>Metrika!GP9/Metrika!GP8</f>
        <v>1.017142857</v>
      </c>
      <c r="GQ8" s="203">
        <f>Metrika!GQ9/Metrika!GQ8</f>
        <v>0.9857142857</v>
      </c>
      <c r="GR8" s="204">
        <f>Metrika!GR9/Metrika!GR8</f>
        <v>0.9714285714</v>
      </c>
      <c r="GS8" s="204">
        <f>Metrika!GS9/Metrika!GS8</f>
        <v>0.9771428571</v>
      </c>
      <c r="GT8" s="204">
        <f>Metrika!GT9/Metrika!GT8</f>
        <v>0.9885714286</v>
      </c>
      <c r="GU8" s="204">
        <f>Metrika!GU9/Metrika!GU8</f>
        <v>1.005714286</v>
      </c>
      <c r="GV8" s="203">
        <f>Metrika!GV9/Metrika!GV8</f>
        <v>1.001428571</v>
      </c>
      <c r="GW8" s="204">
        <f>Metrika!GW9/Metrika!GW8</f>
        <v>0.9942857143</v>
      </c>
      <c r="GX8" s="204">
        <f>Metrika!GX9/Metrika!GX8</f>
        <v>1.011428571</v>
      </c>
      <c r="GY8" s="204">
        <f>Metrika!GY9/Metrika!GY8</f>
        <v>0.9828571429</v>
      </c>
      <c r="GZ8" s="204">
        <f>Metrika!GZ9/Metrika!GZ8</f>
        <v>1.017142857</v>
      </c>
      <c r="HA8" s="198"/>
    </row>
    <row r="9" ht="15.75" customHeight="1">
      <c r="A9" s="195"/>
      <c r="B9" s="82"/>
      <c r="C9" s="78"/>
      <c r="D9" s="78"/>
      <c r="E9" s="80" t="s">
        <v>26</v>
      </c>
      <c r="F9" s="198"/>
      <c r="G9" s="78"/>
      <c r="H9" s="78"/>
      <c r="I9" s="78"/>
      <c r="J9" s="78"/>
      <c r="K9" s="78"/>
      <c r="L9" s="78"/>
      <c r="M9" s="78"/>
      <c r="N9" s="78"/>
      <c r="O9" s="78"/>
      <c r="P9" s="78"/>
      <c r="Q9" s="78"/>
      <c r="R9" s="78"/>
      <c r="S9" s="78"/>
      <c r="T9" s="78"/>
      <c r="U9" s="78"/>
      <c r="V9" s="78"/>
      <c r="W9" s="78"/>
      <c r="X9" s="78"/>
      <c r="Y9" s="78"/>
      <c r="Z9" s="78"/>
      <c r="AA9" s="78"/>
      <c r="AB9" s="78"/>
      <c r="AC9" s="78"/>
      <c r="AD9" s="78"/>
      <c r="AE9" s="78"/>
      <c r="AF9" s="78"/>
      <c r="AG9" s="78"/>
      <c r="AH9" s="78"/>
      <c r="AI9" s="78"/>
      <c r="AJ9" s="78"/>
      <c r="AK9" s="78"/>
      <c r="AL9" s="78"/>
      <c r="AM9" s="78"/>
      <c r="AN9" s="78"/>
      <c r="AO9" s="78"/>
      <c r="AP9" s="78"/>
      <c r="AQ9" s="78"/>
      <c r="AR9" s="78"/>
      <c r="AS9" s="78"/>
      <c r="AT9" s="78"/>
      <c r="AU9" s="78"/>
      <c r="AV9" s="78"/>
      <c r="AW9" s="78"/>
      <c r="AX9" s="78"/>
      <c r="AY9" s="78"/>
      <c r="AZ9" s="78"/>
      <c r="BA9" s="78"/>
      <c r="BB9" s="78"/>
      <c r="BC9" s="78"/>
      <c r="BD9" s="78"/>
      <c r="BE9" s="78"/>
      <c r="BF9" s="78"/>
      <c r="BG9" s="78"/>
      <c r="BH9" s="78"/>
      <c r="BI9" s="78"/>
      <c r="BJ9" s="78"/>
      <c r="BK9" s="78"/>
      <c r="BL9" s="78"/>
      <c r="BM9" s="78"/>
      <c r="BN9" s="78"/>
      <c r="BO9" s="78"/>
      <c r="BP9" s="78"/>
      <c r="BQ9" s="78"/>
      <c r="BR9" s="78"/>
      <c r="BS9" s="78"/>
      <c r="BT9" s="78"/>
      <c r="BU9" s="78"/>
      <c r="BV9" s="78"/>
      <c r="BW9" s="78"/>
      <c r="BX9" s="78"/>
      <c r="BY9" s="78"/>
      <c r="BZ9" s="78"/>
      <c r="CA9" s="78"/>
      <c r="CB9" s="78"/>
      <c r="CC9" s="78"/>
      <c r="CD9" s="78"/>
      <c r="CE9" s="78"/>
      <c r="CF9" s="78"/>
      <c r="CG9" s="78"/>
      <c r="CH9" s="78"/>
      <c r="CI9" s="78"/>
      <c r="CJ9" s="78"/>
      <c r="CK9" s="78"/>
      <c r="CL9" s="78"/>
      <c r="CM9" s="78"/>
      <c r="CN9" s="78"/>
      <c r="CO9" s="78"/>
      <c r="CP9" s="78"/>
      <c r="CQ9" s="78"/>
      <c r="CR9" s="78"/>
      <c r="CS9" s="78"/>
      <c r="CT9" s="78"/>
      <c r="CU9" s="78"/>
      <c r="CV9" s="78"/>
      <c r="CW9" s="78"/>
      <c r="CX9" s="78"/>
      <c r="CY9" s="78"/>
      <c r="CZ9" s="78"/>
      <c r="DA9" s="78"/>
      <c r="DB9" s="78"/>
      <c r="DC9" s="78"/>
      <c r="DD9" s="78"/>
      <c r="DE9" s="78"/>
      <c r="DF9" s="78"/>
      <c r="DG9" s="78"/>
      <c r="DH9" s="78"/>
      <c r="DI9" s="78"/>
      <c r="DJ9" s="78"/>
      <c r="DK9" s="78"/>
      <c r="DL9" s="78"/>
      <c r="DM9" s="78"/>
      <c r="DN9" s="78"/>
      <c r="DO9" s="78"/>
      <c r="DP9" s="78"/>
      <c r="DQ9" s="78"/>
      <c r="DR9" s="78"/>
      <c r="DS9" s="78"/>
      <c r="DT9" s="78"/>
      <c r="DU9" s="78"/>
      <c r="DV9" s="78"/>
      <c r="DW9" s="78"/>
      <c r="DX9" s="78"/>
      <c r="DY9" s="78"/>
      <c r="DZ9" s="78"/>
      <c r="EA9" s="78"/>
      <c r="EB9" s="78"/>
      <c r="EC9" s="78"/>
      <c r="ED9" s="78"/>
      <c r="EE9" s="78"/>
      <c r="EF9" s="78"/>
      <c r="EG9" s="78"/>
      <c r="EH9" s="78"/>
      <c r="EI9" s="78"/>
      <c r="EJ9" s="78"/>
      <c r="EK9" s="78"/>
      <c r="EL9" s="78"/>
      <c r="EM9" s="78"/>
      <c r="EN9" s="78"/>
      <c r="EO9" s="78"/>
      <c r="EP9" s="78"/>
      <c r="EQ9" s="78"/>
      <c r="ER9" s="78"/>
      <c r="ES9" s="78"/>
      <c r="ET9" s="78"/>
      <c r="EU9" s="78"/>
      <c r="EV9" s="78"/>
      <c r="EW9" s="78"/>
      <c r="EX9" s="78"/>
      <c r="EY9" s="78"/>
      <c r="EZ9" s="78"/>
      <c r="FA9" s="78"/>
      <c r="FB9" s="78"/>
      <c r="FC9" s="78"/>
      <c r="FD9" s="78"/>
      <c r="FE9" s="78"/>
      <c r="FF9" s="78"/>
      <c r="FG9" s="78"/>
      <c r="FH9" s="78"/>
      <c r="FI9" s="78"/>
      <c r="FJ9" s="78"/>
      <c r="FK9" s="78"/>
      <c r="FL9" s="78"/>
      <c r="FM9" s="78"/>
      <c r="FN9" s="78"/>
      <c r="FO9" s="78"/>
      <c r="FP9" s="78"/>
      <c r="FQ9" s="78"/>
      <c r="FR9" s="78"/>
      <c r="FS9" s="78"/>
      <c r="FT9" s="78"/>
      <c r="FU9" s="78"/>
      <c r="FV9" s="78"/>
      <c r="FW9" s="78"/>
      <c r="FX9" s="78"/>
      <c r="FY9" s="78"/>
      <c r="FZ9" s="78"/>
      <c r="GA9" s="78"/>
      <c r="GB9" s="78"/>
      <c r="GC9" s="78"/>
      <c r="GD9" s="78"/>
      <c r="GE9" s="78"/>
      <c r="GF9" s="78"/>
      <c r="GG9" s="78"/>
      <c r="GH9" s="78"/>
      <c r="GI9" s="78"/>
      <c r="GJ9" s="78"/>
      <c r="GK9" s="78"/>
      <c r="GL9" s="78"/>
      <c r="GM9" s="78"/>
      <c r="GN9" s="78"/>
      <c r="GO9" s="78"/>
      <c r="GP9" s="78"/>
      <c r="GQ9" s="78"/>
      <c r="GR9" s="78"/>
      <c r="GS9" s="78"/>
      <c r="GT9" s="78"/>
      <c r="GU9" s="78"/>
      <c r="GV9" s="78"/>
      <c r="GW9" s="78"/>
      <c r="GX9" s="78"/>
      <c r="GY9" s="78"/>
      <c r="GZ9" s="78"/>
      <c r="HA9" s="198"/>
    </row>
    <row r="10" ht="15.75" customHeight="1">
      <c r="A10" s="195"/>
      <c r="B10" s="82"/>
      <c r="C10" s="87">
        <v>2.0</v>
      </c>
      <c r="D10" s="221" t="s">
        <v>40</v>
      </c>
      <c r="E10" s="80" t="s">
        <v>19</v>
      </c>
      <c r="F10" s="198"/>
      <c r="G10" s="199">
        <f>Metrika!G11/Metrika!G10</f>
        <v>0.9585714286</v>
      </c>
      <c r="H10" s="200">
        <f>Metrika!H11/Metrika!H10</f>
        <v>0.9585714286</v>
      </c>
      <c r="I10" s="201">
        <f>Metrika!I11/Metrika!I10</f>
        <v>0.9585714286</v>
      </c>
      <c r="J10" s="202">
        <f>Metrika!J11/Metrika!J10</f>
        <v>1.00047619</v>
      </c>
      <c r="K10" s="203">
        <f>Metrika!K11/Metrika!K10</f>
        <v>0.9892857143</v>
      </c>
      <c r="L10" s="204">
        <f>Metrika!L11/Metrika!L10</f>
        <v>0.9428571429</v>
      </c>
      <c r="M10" s="204">
        <f>Metrika!M11/Metrika!M10</f>
        <v>0.9857142857</v>
      </c>
      <c r="N10" s="204">
        <f>Metrika!N11/Metrika!N10</f>
        <v>1.028571429</v>
      </c>
      <c r="O10" s="204">
        <f>Metrika!O11/Metrika!O10</f>
        <v>1</v>
      </c>
      <c r="P10" s="203">
        <f>Metrika!P11/Metrika!P10</f>
        <v>1</v>
      </c>
      <c r="Q10" s="204">
        <f>Metrika!Q11/Metrika!Q10</f>
        <v>1.014285714</v>
      </c>
      <c r="R10" s="204">
        <f>Metrika!R11/Metrika!R10</f>
        <v>1.028571429</v>
      </c>
      <c r="S10" s="204">
        <f>Metrika!S11/Metrika!S10</f>
        <v>0.9714285714</v>
      </c>
      <c r="T10" s="204">
        <f>Metrika!T11/Metrika!T10</f>
        <v>0.9857142857</v>
      </c>
      <c r="U10" s="203">
        <f>Metrika!U11/Metrika!U10</f>
        <v>1.012142857</v>
      </c>
      <c r="V10" s="204">
        <f>Metrika!V11/Metrika!V10</f>
        <v>1.005714286</v>
      </c>
      <c r="W10" s="204">
        <f>Metrika!W11/Metrika!W10</f>
        <v>1.042857143</v>
      </c>
      <c r="X10" s="204">
        <f>Metrika!X11/Metrika!X10</f>
        <v>1.014285714</v>
      </c>
      <c r="Y10" s="204">
        <f>Metrika!Y11/Metrika!Y10</f>
        <v>0.9857142857</v>
      </c>
      <c r="Z10" s="202">
        <f>Metrika!Z11/Metrika!Z10</f>
        <v>0.9166666667</v>
      </c>
      <c r="AA10" s="203">
        <f>Metrika!AA11/Metrika!AA10</f>
        <v>0.9357142857</v>
      </c>
      <c r="AB10" s="204">
        <f>Metrika!AB11/Metrika!AB10</f>
        <v>0.9428571429</v>
      </c>
      <c r="AC10" s="204">
        <f>Metrika!AC11/Metrika!AC10</f>
        <v>0.9571428571</v>
      </c>
      <c r="AD10" s="204">
        <f>Metrika!AD11/Metrika!AD10</f>
        <v>0.9142857143</v>
      </c>
      <c r="AE10" s="204">
        <f>Metrika!AE11/Metrika!AE10</f>
        <v>0.9285714286</v>
      </c>
      <c r="AF10" s="203">
        <f>Metrika!AF11/Metrika!AF10</f>
        <v>0.8785714286</v>
      </c>
      <c r="AG10" s="204">
        <f>Metrika!AG11/Metrika!AG10</f>
        <v>0.8571428571</v>
      </c>
      <c r="AH10" s="204">
        <f>Metrika!AH11/Metrika!AH10</f>
        <v>0.8857142857</v>
      </c>
      <c r="AI10" s="204">
        <f>Metrika!AI11/Metrika!AI10</f>
        <v>0.8714285714</v>
      </c>
      <c r="AJ10" s="204">
        <f>Metrika!AJ11/Metrika!AJ10</f>
        <v>0.9</v>
      </c>
      <c r="AK10" s="203">
        <f>Metrika!AK11/Metrika!AK10</f>
        <v>0.9357142857</v>
      </c>
      <c r="AL10" s="204">
        <f>Metrika!AL11/Metrika!AL10</f>
        <v>0.9142857143</v>
      </c>
      <c r="AM10" s="204">
        <f>Metrika!AM11/Metrika!AM10</f>
        <v>0.9285714286</v>
      </c>
      <c r="AN10" s="204">
        <f>Metrika!AN11/Metrika!AN10</f>
        <v>0.9428571429</v>
      </c>
      <c r="AO10" s="204">
        <f>Metrika!AO11/Metrika!AO10</f>
        <v>0.9571428571</v>
      </c>
      <c r="AP10" s="201">
        <f>Metrika!AP11/Metrika!AP10</f>
        <v>0.9585714286</v>
      </c>
      <c r="AQ10" s="202">
        <f>Metrika!AQ11/Metrika!AQ10</f>
        <v>0.9166666667</v>
      </c>
      <c r="AR10" s="203">
        <f>Metrika!AR11/Metrika!AR10</f>
        <v>0.9357142857</v>
      </c>
      <c r="AS10" s="204">
        <f>Metrika!AS11/Metrika!AS10</f>
        <v>0.9142857143</v>
      </c>
      <c r="AT10" s="204">
        <f>Metrika!AT11/Metrika!AT10</f>
        <v>0.9285714286</v>
      </c>
      <c r="AU10" s="204">
        <f>Metrika!AU11/Metrika!AU10</f>
        <v>0.9428571429</v>
      </c>
      <c r="AV10" s="204">
        <f>Metrika!AV11/Metrika!AV10</f>
        <v>0.9571428571</v>
      </c>
      <c r="AW10" s="203">
        <f>Metrika!AW11/Metrika!AW10</f>
        <v>0.9357142857</v>
      </c>
      <c r="AX10" s="204">
        <f>Metrika!AX11/Metrika!AX10</f>
        <v>0.9428571429</v>
      </c>
      <c r="AY10" s="204">
        <f>Metrika!AY11/Metrika!AY10</f>
        <v>0.9571428571</v>
      </c>
      <c r="AZ10" s="204">
        <f>Metrika!AZ11/Metrika!AZ10</f>
        <v>0.9142857143</v>
      </c>
      <c r="BA10" s="204">
        <f>Metrika!BA11/Metrika!BA10</f>
        <v>0.9285714286</v>
      </c>
      <c r="BB10" s="203">
        <f>Metrika!BB11/Metrika!BB10</f>
        <v>0.8785714286</v>
      </c>
      <c r="BC10" s="204">
        <f>Metrika!BC11/Metrika!BC10</f>
        <v>0.8571428571</v>
      </c>
      <c r="BD10" s="204">
        <f>Metrika!BD11/Metrika!BD10</f>
        <v>0.8857142857</v>
      </c>
      <c r="BE10" s="204">
        <f>Metrika!BE11/Metrika!BE10</f>
        <v>0.8714285714</v>
      </c>
      <c r="BF10" s="204">
        <f>Metrika!BF11/Metrika!BF10</f>
        <v>0.9</v>
      </c>
      <c r="BG10" s="202">
        <f>Metrika!BG11/Metrika!BG10</f>
        <v>1.00047619</v>
      </c>
      <c r="BH10" s="203">
        <f>Metrika!BH11/Metrika!BH10</f>
        <v>1</v>
      </c>
      <c r="BI10" s="204">
        <f>Metrika!BI11/Metrika!BI10</f>
        <v>1.014285714</v>
      </c>
      <c r="BJ10" s="204">
        <f>Metrika!BJ11/Metrika!BJ10</f>
        <v>1.028571429</v>
      </c>
      <c r="BK10" s="204">
        <f>Metrika!BK11/Metrika!BK10</f>
        <v>0.9714285714</v>
      </c>
      <c r="BL10" s="204">
        <f>Metrika!BL11/Metrika!BL10</f>
        <v>0.9857142857</v>
      </c>
      <c r="BM10" s="203">
        <f>Metrika!BM11/Metrika!BM10</f>
        <v>1.012142857</v>
      </c>
      <c r="BN10" s="204">
        <f>Metrika!BN11/Metrika!BN10</f>
        <v>1.005714286</v>
      </c>
      <c r="BO10" s="204">
        <f>Metrika!BO11/Metrika!BO10</f>
        <v>1.042857143</v>
      </c>
      <c r="BP10" s="204">
        <f>Metrika!BP11/Metrika!BP10</f>
        <v>1.014285714</v>
      </c>
      <c r="BQ10" s="204">
        <f>Metrika!BQ11/Metrika!BQ10</f>
        <v>0.9857142857</v>
      </c>
      <c r="BR10" s="203">
        <f>Metrika!BR11/Metrika!BR10</f>
        <v>0.9892857143</v>
      </c>
      <c r="BS10" s="204">
        <f>Metrika!BS11/Metrika!BS10</f>
        <v>0.9428571429</v>
      </c>
      <c r="BT10" s="204">
        <f>Metrika!BT11/Metrika!BT10</f>
        <v>0.9857142857</v>
      </c>
      <c r="BU10" s="204">
        <f>Metrika!BU11/Metrika!BU10</f>
        <v>1.028571429</v>
      </c>
      <c r="BV10" s="204">
        <f>Metrika!BV11/Metrika!BV10</f>
        <v>1</v>
      </c>
      <c r="BW10" s="200">
        <f>Metrika!BW11/Metrika!BW10</f>
        <v>0.9585714286</v>
      </c>
      <c r="BX10" s="201">
        <f>Metrika!BX11/Metrika!BX10</f>
        <v>0.9585714286</v>
      </c>
      <c r="BY10" s="202">
        <f>Metrika!BY11/Metrika!BY10</f>
        <v>0.9166666667</v>
      </c>
      <c r="BZ10" s="203">
        <f>Metrika!BZ11/Metrika!BZ10</f>
        <v>0.8785714286</v>
      </c>
      <c r="CA10" s="204">
        <f>Metrika!CA11/Metrika!CA10</f>
        <v>0.8571428571</v>
      </c>
      <c r="CB10" s="204">
        <f>Metrika!CB11/Metrika!CB10</f>
        <v>0.8857142857</v>
      </c>
      <c r="CC10" s="204">
        <f>Metrika!CC11/Metrika!CC10</f>
        <v>0.8714285714</v>
      </c>
      <c r="CD10" s="204">
        <f>Metrika!CD11/Metrika!CD10</f>
        <v>0.9</v>
      </c>
      <c r="CE10" s="203">
        <f>Metrika!CE11/Metrika!CE10</f>
        <v>0.9357142857</v>
      </c>
      <c r="CF10" s="204">
        <f>Metrika!CF11/Metrika!CF10</f>
        <v>0.9142857143</v>
      </c>
      <c r="CG10" s="204">
        <f>Metrika!CG11/Metrika!CG10</f>
        <v>0.9285714286</v>
      </c>
      <c r="CH10" s="204">
        <f>Metrika!CH11/Metrika!CH10</f>
        <v>0.9428571429</v>
      </c>
      <c r="CI10" s="204">
        <f>Metrika!CI11/Metrika!CI10</f>
        <v>0.9571428571</v>
      </c>
      <c r="CJ10" s="203">
        <f>Metrika!CJ11/Metrika!CJ10</f>
        <v>0.9357142857</v>
      </c>
      <c r="CK10" s="204">
        <f>Metrika!CK11/Metrika!CK10</f>
        <v>0.9428571429</v>
      </c>
      <c r="CL10" s="204">
        <f>Metrika!CL11/Metrika!CL10</f>
        <v>0.9571428571</v>
      </c>
      <c r="CM10" s="204">
        <f>Metrika!CM11/Metrika!CM10</f>
        <v>0.9142857143</v>
      </c>
      <c r="CN10" s="204">
        <f>Metrika!CN11/Metrika!CN10</f>
        <v>0.9285714286</v>
      </c>
      <c r="CO10" s="202">
        <f>Metrika!CO11/Metrika!CO10</f>
        <v>1.00047619</v>
      </c>
      <c r="CP10" s="203">
        <f>Metrika!CP11/Metrika!CP10</f>
        <v>0.9892857143</v>
      </c>
      <c r="CQ10" s="204">
        <f>Metrika!CQ11/Metrika!CQ10</f>
        <v>0.9428571429</v>
      </c>
      <c r="CR10" s="204">
        <f>Metrika!CR11/Metrika!CR10</f>
        <v>0.9857142857</v>
      </c>
      <c r="CS10" s="204">
        <f>Metrika!CS11/Metrika!CS10</f>
        <v>1.028571429</v>
      </c>
      <c r="CT10" s="204">
        <f>Metrika!CT11/Metrika!CT10</f>
        <v>1</v>
      </c>
      <c r="CU10" s="203">
        <f>Metrika!CU11/Metrika!CU10</f>
        <v>1</v>
      </c>
      <c r="CV10" s="204">
        <f>Metrika!CV11/Metrika!CV10</f>
        <v>1.014285714</v>
      </c>
      <c r="CW10" s="204">
        <f>Metrika!CW11/Metrika!CW10</f>
        <v>1.028571429</v>
      </c>
      <c r="CX10" s="204">
        <f>Metrika!CX11/Metrika!CX10</f>
        <v>0.9714285714</v>
      </c>
      <c r="CY10" s="204">
        <f>Metrika!CY11/Metrika!CY10</f>
        <v>0.9857142857</v>
      </c>
      <c r="CZ10" s="203">
        <f>Metrika!CZ11/Metrika!CZ10</f>
        <v>1.012142857</v>
      </c>
      <c r="DA10" s="204">
        <f>Metrika!DA11/Metrika!DA10</f>
        <v>1.005714286</v>
      </c>
      <c r="DB10" s="204">
        <f>Metrika!DB11/Metrika!DB10</f>
        <v>1.042857143</v>
      </c>
      <c r="DC10" s="204">
        <f>Metrika!DC11/Metrika!DC10</f>
        <v>1.014285714</v>
      </c>
      <c r="DD10" s="204">
        <f>Metrika!DD11/Metrika!DD10</f>
        <v>0.9857142857</v>
      </c>
      <c r="DE10" s="201">
        <f>Metrika!DE11/Metrika!DE10</f>
        <v>0.9585714286</v>
      </c>
      <c r="DF10" s="202">
        <f>Metrika!DF11/Metrika!DF10</f>
        <v>1.00047619</v>
      </c>
      <c r="DG10" s="203">
        <f>Metrika!DG11/Metrika!DG10</f>
        <v>1.012142857</v>
      </c>
      <c r="DH10" s="204">
        <f>Metrika!DH11/Metrika!DH10</f>
        <v>1.005714286</v>
      </c>
      <c r="DI10" s="204">
        <f>Metrika!DI11/Metrika!DI10</f>
        <v>1.042857143</v>
      </c>
      <c r="DJ10" s="204">
        <f>Metrika!DJ11/Metrika!DJ10</f>
        <v>1.014285714</v>
      </c>
      <c r="DK10" s="204">
        <f>Metrika!DK11/Metrika!DK10</f>
        <v>0.9857142857</v>
      </c>
      <c r="DL10" s="203">
        <f>Metrika!DL11/Metrika!DL10</f>
        <v>0.9892857143</v>
      </c>
      <c r="DM10" s="204">
        <f>Metrika!DM11/Metrika!DM10</f>
        <v>0.9428571429</v>
      </c>
      <c r="DN10" s="204">
        <f>Metrika!DN11/Metrika!DN10</f>
        <v>0.9857142857</v>
      </c>
      <c r="DO10" s="204">
        <f>Metrika!DO11/Metrika!DO10</f>
        <v>1.028571429</v>
      </c>
      <c r="DP10" s="204">
        <f>Metrika!DP11/Metrika!DP10</f>
        <v>1</v>
      </c>
      <c r="DQ10" s="203">
        <f>Metrika!DQ11/Metrika!DQ10</f>
        <v>1</v>
      </c>
      <c r="DR10" s="204">
        <f>Metrika!DR11/Metrika!DR10</f>
        <v>1.014285714</v>
      </c>
      <c r="DS10" s="204">
        <f>Metrika!DS11/Metrika!DS10</f>
        <v>1.028571429</v>
      </c>
      <c r="DT10" s="204">
        <f>Metrika!DT11/Metrika!DT10</f>
        <v>0.9714285714</v>
      </c>
      <c r="DU10" s="204">
        <f>Metrika!DU11/Metrika!DU10</f>
        <v>0.9857142857</v>
      </c>
      <c r="DV10" s="202">
        <f>Metrika!DV11/Metrika!DV10</f>
        <v>0.9166666667</v>
      </c>
      <c r="DW10" s="203">
        <f>Metrika!DW11/Metrika!DW10</f>
        <v>0.9357142857</v>
      </c>
      <c r="DX10" s="204">
        <f>Metrika!DX11/Metrika!DX10</f>
        <v>0.9142857143</v>
      </c>
      <c r="DY10" s="204">
        <f>Metrika!DY11/Metrika!DY10</f>
        <v>0.9285714286</v>
      </c>
      <c r="DZ10" s="204">
        <f>Metrika!DZ11/Metrika!DZ10</f>
        <v>0.9428571429</v>
      </c>
      <c r="EA10" s="204">
        <f>Metrika!EA11/Metrika!EA10</f>
        <v>0.9571428571</v>
      </c>
      <c r="EB10" s="203">
        <f>Metrika!EB11/Metrika!EB10</f>
        <v>0.8785714286</v>
      </c>
      <c r="EC10" s="204">
        <f>Metrika!EC11/Metrika!EC10</f>
        <v>0.8571428571</v>
      </c>
      <c r="ED10" s="204">
        <f>Metrika!ED11/Metrika!ED10</f>
        <v>0.8857142857</v>
      </c>
      <c r="EE10" s="204">
        <f>Metrika!EE11/Metrika!EE10</f>
        <v>0.8714285714</v>
      </c>
      <c r="EF10" s="204">
        <f>Metrika!EF11/Metrika!EF10</f>
        <v>0.9</v>
      </c>
      <c r="EG10" s="203">
        <f>Metrika!EG11/Metrika!EG10</f>
        <v>0.9357142857</v>
      </c>
      <c r="EH10" s="204">
        <f>Metrika!EH11/Metrika!EH10</f>
        <v>0.9428571429</v>
      </c>
      <c r="EI10" s="204">
        <f>Metrika!EI11/Metrika!EI10</f>
        <v>0.9571428571</v>
      </c>
      <c r="EJ10" s="204">
        <f>Metrika!EJ11/Metrika!EJ10</f>
        <v>0.9142857143</v>
      </c>
      <c r="EK10" s="204">
        <f>Metrika!EK11/Metrika!EK10</f>
        <v>0.9285714286</v>
      </c>
      <c r="EL10" s="200">
        <f>Metrika!EL11/Metrika!EL10</f>
        <v>0.9585714286</v>
      </c>
      <c r="EM10" s="201">
        <f>Metrika!EM11/Metrika!EM10</f>
        <v>0.9585714286</v>
      </c>
      <c r="EN10" s="202">
        <f>Metrika!EN11/Metrika!EN10</f>
        <v>0.9166666667</v>
      </c>
      <c r="EO10" s="203">
        <f>Metrika!EO11/Metrika!EO10</f>
        <v>0.8785714286</v>
      </c>
      <c r="EP10" s="204">
        <f>Metrika!EP11/Metrika!EP10</f>
        <v>0.8571428571</v>
      </c>
      <c r="EQ10" s="204">
        <f>Metrika!EQ11/Metrika!EQ10</f>
        <v>0.8857142857</v>
      </c>
      <c r="ER10" s="204">
        <f>Metrika!ER11/Metrika!ER10</f>
        <v>0.8714285714</v>
      </c>
      <c r="ES10" s="204">
        <f>Metrika!ES11/Metrika!ES10</f>
        <v>0.9</v>
      </c>
      <c r="ET10" s="203">
        <f>Metrika!ET11/Metrika!ET10</f>
        <v>0.9357142857</v>
      </c>
      <c r="EU10" s="204">
        <f>Metrika!EU11/Metrika!EU10</f>
        <v>0.9428571429</v>
      </c>
      <c r="EV10" s="204">
        <f>Metrika!EV11/Metrika!EV10</f>
        <v>0.9571428571</v>
      </c>
      <c r="EW10" s="204">
        <f>Metrika!EW11/Metrika!EW10</f>
        <v>0.9142857143</v>
      </c>
      <c r="EX10" s="204">
        <f>Metrika!EX11/Metrika!EX10</f>
        <v>0.9285714286</v>
      </c>
      <c r="EY10" s="203">
        <f>Metrika!EY11/Metrika!EY10</f>
        <v>0.9357142857</v>
      </c>
      <c r="EZ10" s="204">
        <f>Metrika!EZ11/Metrika!EZ10</f>
        <v>0.9142857143</v>
      </c>
      <c r="FA10" s="204">
        <f>Metrika!FA11/Metrika!FA10</f>
        <v>0.9285714286</v>
      </c>
      <c r="FB10" s="204">
        <f>Metrika!FB11/Metrika!FB10</f>
        <v>0.9428571429</v>
      </c>
      <c r="FC10" s="204">
        <f>Metrika!FC11/Metrika!FC10</f>
        <v>0.9571428571</v>
      </c>
      <c r="FD10" s="202">
        <f>Metrika!FD11/Metrika!FD10</f>
        <v>1.00047619</v>
      </c>
      <c r="FE10" s="203">
        <f>Metrika!FE11/Metrika!FE10</f>
        <v>0.9892857143</v>
      </c>
      <c r="FF10" s="204">
        <f>Metrika!FF11/Metrika!FF10</f>
        <v>0.9428571429</v>
      </c>
      <c r="FG10" s="204">
        <f>Metrika!FG11/Metrika!FG10</f>
        <v>0.9857142857</v>
      </c>
      <c r="FH10" s="204">
        <f>Metrika!FH11/Metrika!FH10</f>
        <v>1.028571429</v>
      </c>
      <c r="FI10" s="204">
        <f>Metrika!FI11/Metrika!FI10</f>
        <v>1</v>
      </c>
      <c r="FJ10" s="203">
        <f>Metrika!FJ11/Metrika!FJ10</f>
        <v>1</v>
      </c>
      <c r="FK10" s="204">
        <f>Metrika!FK11/Metrika!FK10</f>
        <v>1.014285714</v>
      </c>
      <c r="FL10" s="204">
        <f>Metrika!FL11/Metrika!FL10</f>
        <v>1.028571429</v>
      </c>
      <c r="FM10" s="204">
        <f>Metrika!FM11/Metrika!FM10</f>
        <v>0.9714285714</v>
      </c>
      <c r="FN10" s="204">
        <f>Metrika!FN11/Metrika!FN10</f>
        <v>0.9857142857</v>
      </c>
      <c r="FO10" s="203">
        <f>Metrika!FO11/Metrika!FO10</f>
        <v>1.012142857</v>
      </c>
      <c r="FP10" s="204">
        <f>Metrika!FP11/Metrika!FP10</f>
        <v>1.005714286</v>
      </c>
      <c r="FQ10" s="204">
        <f>Metrika!FQ11/Metrika!FQ10</f>
        <v>1.042857143</v>
      </c>
      <c r="FR10" s="204">
        <f>Metrika!FR11/Metrika!FR10</f>
        <v>1.014285714</v>
      </c>
      <c r="FS10" s="204">
        <f>Metrika!FS11/Metrika!FS10</f>
        <v>0.9857142857</v>
      </c>
      <c r="FT10" s="201">
        <f>Metrika!FT11/Metrika!FT10</f>
        <v>0.9585714286</v>
      </c>
      <c r="FU10" s="202">
        <f>Metrika!FU11/Metrika!FU10</f>
        <v>1.00047619</v>
      </c>
      <c r="FV10" s="203">
        <f>Metrika!FV11/Metrika!FV10</f>
        <v>1.012142857</v>
      </c>
      <c r="FW10" s="204">
        <f>Metrika!FW11/Metrika!FW10</f>
        <v>1.005714286</v>
      </c>
      <c r="FX10" s="204">
        <f>Metrika!FX11/Metrika!FX10</f>
        <v>1.042857143</v>
      </c>
      <c r="FY10" s="204">
        <f>Metrika!FY11/Metrika!FY10</f>
        <v>1.014285714</v>
      </c>
      <c r="FZ10" s="204">
        <f>Metrika!FZ11/Metrika!FZ10</f>
        <v>0.9857142857</v>
      </c>
      <c r="GA10" s="203">
        <f>Metrika!GA11/Metrika!GA10</f>
        <v>0.9892857143</v>
      </c>
      <c r="GB10" s="204">
        <f>Metrika!GB11/Metrika!GB10</f>
        <v>0.9428571429</v>
      </c>
      <c r="GC10" s="204">
        <f>Metrika!GC11/Metrika!GC10</f>
        <v>0.9857142857</v>
      </c>
      <c r="GD10" s="204">
        <f>Metrika!GD11/Metrika!GD10</f>
        <v>1.028571429</v>
      </c>
      <c r="GE10" s="204">
        <f>Metrika!GE11/Metrika!GE10</f>
        <v>1</v>
      </c>
      <c r="GF10" s="203">
        <f>Metrika!GF11/Metrika!GF10</f>
        <v>1</v>
      </c>
      <c r="GG10" s="204">
        <f>Metrika!GG11/Metrika!GG10</f>
        <v>1.014285714</v>
      </c>
      <c r="GH10" s="204">
        <f>Metrika!GH11/Metrika!GH10</f>
        <v>1.028571429</v>
      </c>
      <c r="GI10" s="204">
        <f>Metrika!GI11/Metrika!GI10</f>
        <v>0.9714285714</v>
      </c>
      <c r="GJ10" s="204">
        <f>Metrika!GJ11/Metrika!GJ10</f>
        <v>0.9857142857</v>
      </c>
      <c r="GK10" s="202">
        <f>Metrika!GK11/Metrika!GK10</f>
        <v>0.9166666667</v>
      </c>
      <c r="GL10" s="203">
        <f>Metrika!GL11/Metrika!GL10</f>
        <v>0.9357142857</v>
      </c>
      <c r="GM10" s="204">
        <f>Metrika!GM11/Metrika!GM10</f>
        <v>0.9428571429</v>
      </c>
      <c r="GN10" s="204">
        <f>Metrika!GN11/Metrika!GN10</f>
        <v>0.9571428571</v>
      </c>
      <c r="GO10" s="204">
        <f>Metrika!GO11/Metrika!GO10</f>
        <v>0.9142857143</v>
      </c>
      <c r="GP10" s="204">
        <f>Metrika!GP11/Metrika!GP10</f>
        <v>0.9285714286</v>
      </c>
      <c r="GQ10" s="203">
        <f>Metrika!GQ11/Metrika!GQ10</f>
        <v>0.8785714286</v>
      </c>
      <c r="GR10" s="204">
        <f>Metrika!GR11/Metrika!GR10</f>
        <v>0.8571428571</v>
      </c>
      <c r="GS10" s="204">
        <f>Metrika!GS11/Metrika!GS10</f>
        <v>0.8857142857</v>
      </c>
      <c r="GT10" s="204">
        <f>Metrika!GT11/Metrika!GT10</f>
        <v>0.8714285714</v>
      </c>
      <c r="GU10" s="204">
        <f>Metrika!GU11/Metrika!GU10</f>
        <v>0.9</v>
      </c>
      <c r="GV10" s="203">
        <f>Metrika!GV11/Metrika!GV10</f>
        <v>0.9357142857</v>
      </c>
      <c r="GW10" s="204">
        <f>Metrika!GW11/Metrika!GW10</f>
        <v>0.9142857143</v>
      </c>
      <c r="GX10" s="204">
        <f>Metrika!GX11/Metrika!GX10</f>
        <v>0.9285714286</v>
      </c>
      <c r="GY10" s="204">
        <f>Metrika!GY11/Metrika!GY10</f>
        <v>0.9428571429</v>
      </c>
      <c r="GZ10" s="204">
        <f>Metrika!GZ11/Metrika!GZ10</f>
        <v>0.9571428571</v>
      </c>
      <c r="HA10" s="198"/>
    </row>
    <row r="11" ht="15.75" customHeight="1">
      <c r="A11" s="195"/>
      <c r="B11" s="82"/>
      <c r="C11" s="78"/>
      <c r="E11" s="80" t="s">
        <v>26</v>
      </c>
      <c r="F11" s="198"/>
      <c r="G11" s="78"/>
      <c r="H11" s="78"/>
      <c r="I11" s="78"/>
      <c r="J11" s="78"/>
      <c r="K11" s="78"/>
      <c r="L11" s="78"/>
      <c r="M11" s="78"/>
      <c r="N11" s="78"/>
      <c r="O11" s="78"/>
      <c r="P11" s="78"/>
      <c r="Q11" s="78"/>
      <c r="R11" s="78"/>
      <c r="S11" s="78"/>
      <c r="T11" s="78"/>
      <c r="U11" s="78"/>
      <c r="V11" s="78"/>
      <c r="W11" s="78"/>
      <c r="X11" s="78"/>
      <c r="Y11" s="78"/>
      <c r="Z11" s="78"/>
      <c r="AA11" s="78"/>
      <c r="AB11" s="78"/>
      <c r="AC11" s="78"/>
      <c r="AD11" s="78"/>
      <c r="AE11" s="78"/>
      <c r="AF11" s="78"/>
      <c r="AG11" s="78"/>
      <c r="AH11" s="78"/>
      <c r="AI11" s="78"/>
      <c r="AJ11" s="78"/>
      <c r="AK11" s="78"/>
      <c r="AL11" s="78"/>
      <c r="AM11" s="78"/>
      <c r="AN11" s="78"/>
      <c r="AO11" s="78"/>
      <c r="AP11" s="78"/>
      <c r="AQ11" s="78"/>
      <c r="AR11" s="78"/>
      <c r="AS11" s="78"/>
      <c r="AT11" s="78"/>
      <c r="AU11" s="78"/>
      <c r="AV11" s="78"/>
      <c r="AW11" s="78"/>
      <c r="AX11" s="78"/>
      <c r="AY11" s="78"/>
      <c r="AZ11" s="78"/>
      <c r="BA11" s="78"/>
      <c r="BB11" s="78"/>
      <c r="BC11" s="78"/>
      <c r="BD11" s="78"/>
      <c r="BE11" s="78"/>
      <c r="BF11" s="78"/>
      <c r="BG11" s="78"/>
      <c r="BH11" s="78"/>
      <c r="BI11" s="78"/>
      <c r="BJ11" s="78"/>
      <c r="BK11" s="78"/>
      <c r="BL11" s="78"/>
      <c r="BM11" s="78"/>
      <c r="BN11" s="78"/>
      <c r="BO11" s="78"/>
      <c r="BP11" s="78"/>
      <c r="BQ11" s="78"/>
      <c r="BR11" s="78"/>
      <c r="BS11" s="78"/>
      <c r="BT11" s="78"/>
      <c r="BU11" s="78"/>
      <c r="BV11" s="78"/>
      <c r="BW11" s="78"/>
      <c r="BX11" s="78"/>
      <c r="BY11" s="78"/>
      <c r="BZ11" s="78"/>
      <c r="CA11" s="78"/>
      <c r="CB11" s="78"/>
      <c r="CC11" s="78"/>
      <c r="CD11" s="78"/>
      <c r="CE11" s="78"/>
      <c r="CF11" s="78"/>
      <c r="CG11" s="78"/>
      <c r="CH11" s="78"/>
      <c r="CI11" s="78"/>
      <c r="CJ11" s="78"/>
      <c r="CK11" s="78"/>
      <c r="CL11" s="78"/>
      <c r="CM11" s="78"/>
      <c r="CN11" s="78"/>
      <c r="CO11" s="78"/>
      <c r="CP11" s="78"/>
      <c r="CQ11" s="78"/>
      <c r="CR11" s="78"/>
      <c r="CS11" s="78"/>
      <c r="CT11" s="78"/>
      <c r="CU11" s="78"/>
      <c r="CV11" s="78"/>
      <c r="CW11" s="78"/>
      <c r="CX11" s="78"/>
      <c r="CY11" s="78"/>
      <c r="CZ11" s="78"/>
      <c r="DA11" s="78"/>
      <c r="DB11" s="78"/>
      <c r="DC11" s="78"/>
      <c r="DD11" s="78"/>
      <c r="DE11" s="78"/>
      <c r="DF11" s="78"/>
      <c r="DG11" s="78"/>
      <c r="DH11" s="78"/>
      <c r="DI11" s="78"/>
      <c r="DJ11" s="78"/>
      <c r="DK11" s="78"/>
      <c r="DL11" s="78"/>
      <c r="DM11" s="78"/>
      <c r="DN11" s="78"/>
      <c r="DO11" s="78"/>
      <c r="DP11" s="78"/>
      <c r="DQ11" s="78"/>
      <c r="DR11" s="78"/>
      <c r="DS11" s="78"/>
      <c r="DT11" s="78"/>
      <c r="DU11" s="78"/>
      <c r="DV11" s="78"/>
      <c r="DW11" s="78"/>
      <c r="DX11" s="78"/>
      <c r="DY11" s="78"/>
      <c r="DZ11" s="78"/>
      <c r="EA11" s="78"/>
      <c r="EB11" s="78"/>
      <c r="EC11" s="78"/>
      <c r="ED11" s="78"/>
      <c r="EE11" s="78"/>
      <c r="EF11" s="78"/>
      <c r="EG11" s="78"/>
      <c r="EH11" s="78"/>
      <c r="EI11" s="78"/>
      <c r="EJ11" s="78"/>
      <c r="EK11" s="78"/>
      <c r="EL11" s="78"/>
      <c r="EM11" s="78"/>
      <c r="EN11" s="78"/>
      <c r="EO11" s="78"/>
      <c r="EP11" s="78"/>
      <c r="EQ11" s="78"/>
      <c r="ER11" s="78"/>
      <c r="ES11" s="78"/>
      <c r="ET11" s="78"/>
      <c r="EU11" s="78"/>
      <c r="EV11" s="78"/>
      <c r="EW11" s="78"/>
      <c r="EX11" s="78"/>
      <c r="EY11" s="78"/>
      <c r="EZ11" s="78"/>
      <c r="FA11" s="78"/>
      <c r="FB11" s="78"/>
      <c r="FC11" s="78"/>
      <c r="FD11" s="78"/>
      <c r="FE11" s="78"/>
      <c r="FF11" s="78"/>
      <c r="FG11" s="78"/>
      <c r="FH11" s="78"/>
      <c r="FI11" s="78"/>
      <c r="FJ11" s="78"/>
      <c r="FK11" s="78"/>
      <c r="FL11" s="78"/>
      <c r="FM11" s="78"/>
      <c r="FN11" s="78"/>
      <c r="FO11" s="78"/>
      <c r="FP11" s="78"/>
      <c r="FQ11" s="78"/>
      <c r="FR11" s="78"/>
      <c r="FS11" s="78"/>
      <c r="FT11" s="78"/>
      <c r="FU11" s="78"/>
      <c r="FV11" s="78"/>
      <c r="FW11" s="78"/>
      <c r="FX11" s="78"/>
      <c r="FY11" s="78"/>
      <c r="FZ11" s="78"/>
      <c r="GA11" s="78"/>
      <c r="GB11" s="78"/>
      <c r="GC11" s="78"/>
      <c r="GD11" s="78"/>
      <c r="GE11" s="78"/>
      <c r="GF11" s="78"/>
      <c r="GG11" s="78"/>
      <c r="GH11" s="78"/>
      <c r="GI11" s="78"/>
      <c r="GJ11" s="78"/>
      <c r="GK11" s="78"/>
      <c r="GL11" s="78"/>
      <c r="GM11" s="78"/>
      <c r="GN11" s="78"/>
      <c r="GO11" s="78"/>
      <c r="GP11" s="78"/>
      <c r="GQ11" s="78"/>
      <c r="GR11" s="78"/>
      <c r="GS11" s="78"/>
      <c r="GT11" s="78"/>
      <c r="GU11" s="78"/>
      <c r="GV11" s="78"/>
      <c r="GW11" s="78"/>
      <c r="GX11" s="78"/>
      <c r="GY11" s="78"/>
      <c r="GZ11" s="78"/>
      <c r="HA11" s="198"/>
    </row>
    <row r="12" ht="15.75" customHeight="1">
      <c r="A12" s="195"/>
      <c r="B12" s="82"/>
      <c r="C12" s="87">
        <v>3.0</v>
      </c>
      <c r="D12" s="102" t="s">
        <v>42</v>
      </c>
      <c r="E12" s="80" t="s">
        <v>19</v>
      </c>
      <c r="F12" s="198"/>
      <c r="G12" s="199">
        <f>Metrika!G13/Metrika!G12</f>
        <v>0.9148809524</v>
      </c>
      <c r="H12" s="200">
        <f>Metrika!H13/Metrika!H12</f>
        <v>0.9148809524</v>
      </c>
      <c r="I12" s="201">
        <f>Metrika!I13/Metrika!I12</f>
        <v>0.9148809524</v>
      </c>
      <c r="J12" s="202">
        <f>Metrika!J13/Metrika!J12</f>
        <v>0.994047619</v>
      </c>
      <c r="K12" s="203">
        <f>Metrika!K13/Metrika!K12</f>
        <v>0.9642857143</v>
      </c>
      <c r="L12" s="204">
        <f>Metrika!L13/Metrika!L12</f>
        <v>0.8571428571</v>
      </c>
      <c r="M12" s="204">
        <f>Metrika!M13/Metrika!M12</f>
        <v>0.9285714286</v>
      </c>
      <c r="N12" s="204">
        <f>Metrika!N13/Metrika!N12</f>
        <v>1</v>
      </c>
      <c r="O12" s="204">
        <f>Metrika!O13/Metrika!O12</f>
        <v>1.071428571</v>
      </c>
      <c r="P12" s="203">
        <f>Metrika!P13/Metrika!P12</f>
        <v>0.9107142857</v>
      </c>
      <c r="Q12" s="204">
        <f>Metrika!Q13/Metrika!Q12</f>
        <v>1</v>
      </c>
      <c r="R12" s="204">
        <f>Metrika!R13/Metrika!R12</f>
        <v>0.8571428571</v>
      </c>
      <c r="S12" s="204">
        <f>Metrika!S13/Metrika!S12</f>
        <v>0.7857142857</v>
      </c>
      <c r="T12" s="204">
        <f>Metrika!T13/Metrika!T12</f>
        <v>1</v>
      </c>
      <c r="U12" s="203">
        <f>Metrika!U13/Metrika!U12</f>
        <v>1.107142857</v>
      </c>
      <c r="V12" s="204">
        <f>Metrika!V13/Metrika!V12</f>
        <v>1.071428571</v>
      </c>
      <c r="W12" s="204">
        <f>Metrika!W13/Metrika!W12</f>
        <v>1.142857143</v>
      </c>
      <c r="X12" s="204">
        <f>Metrika!X13/Metrika!X12</f>
        <v>1</v>
      </c>
      <c r="Y12" s="204">
        <f>Metrika!Y13/Metrika!Y12</f>
        <v>1.214285714</v>
      </c>
      <c r="Z12" s="202">
        <f>Metrika!Z13/Metrika!Z12</f>
        <v>0.8357142857</v>
      </c>
      <c r="AA12" s="203">
        <f>Metrika!AA13/Metrika!AA12</f>
        <v>0.8464285714</v>
      </c>
      <c r="AB12" s="204">
        <f>Metrika!AB13/Metrika!AB12</f>
        <v>0.7857142857</v>
      </c>
      <c r="AC12" s="204">
        <f>Metrika!AC13/Metrika!AC12</f>
        <v>0.8</v>
      </c>
      <c r="AD12" s="204">
        <f>Metrika!AD13/Metrika!AD12</f>
        <v>0.8857142857</v>
      </c>
      <c r="AE12" s="204">
        <f>Metrika!AE13/Metrika!AE12</f>
        <v>0.9142857143</v>
      </c>
      <c r="AF12" s="203">
        <f>Metrika!AF13/Metrika!AF12</f>
        <v>0.7642857143</v>
      </c>
      <c r="AG12" s="204">
        <f>Metrika!AG13/Metrika!AG12</f>
        <v>0.7142857143</v>
      </c>
      <c r="AH12" s="204">
        <f>Metrika!AH13/Metrika!AH12</f>
        <v>0.7428571429</v>
      </c>
      <c r="AI12" s="204">
        <f>Metrika!AI13/Metrika!AI12</f>
        <v>0.7714285714</v>
      </c>
      <c r="AJ12" s="204">
        <f>Metrika!AJ13/Metrika!AJ12</f>
        <v>0.8285714286</v>
      </c>
      <c r="AK12" s="203">
        <f>Metrika!AK13/Metrika!AK12</f>
        <v>0.8964285714</v>
      </c>
      <c r="AL12" s="204">
        <f>Metrika!AL13/Metrika!AL12</f>
        <v>0.8571428571</v>
      </c>
      <c r="AM12" s="204">
        <f>Metrika!AM13/Metrika!AM12</f>
        <v>0.8857142857</v>
      </c>
      <c r="AN12" s="204">
        <f>Metrika!AN13/Metrika!AN12</f>
        <v>0.9285714286</v>
      </c>
      <c r="AO12" s="204">
        <f>Metrika!AO13/Metrika!AO12</f>
        <v>0.9142857143</v>
      </c>
      <c r="AP12" s="201">
        <f>Metrika!AP13/Metrika!AP12</f>
        <v>0.9148809524</v>
      </c>
      <c r="AQ12" s="202">
        <f>Metrika!AQ13/Metrika!AQ12</f>
        <v>0.8357142857</v>
      </c>
      <c r="AR12" s="203">
        <f>Metrika!AR13/Metrika!AR12</f>
        <v>0.8964285714</v>
      </c>
      <c r="AS12" s="204">
        <f>Metrika!AS13/Metrika!AS12</f>
        <v>0.8571428571</v>
      </c>
      <c r="AT12" s="204">
        <f>Metrika!AT13/Metrika!AT12</f>
        <v>0.8857142857</v>
      </c>
      <c r="AU12" s="204">
        <f>Metrika!AU13/Metrika!AU12</f>
        <v>0.9285714286</v>
      </c>
      <c r="AV12" s="204">
        <f>Metrika!AV13/Metrika!AV12</f>
        <v>0.9142857143</v>
      </c>
      <c r="AW12" s="203">
        <f>Metrika!AW13/Metrika!AW12</f>
        <v>0.8464285714</v>
      </c>
      <c r="AX12" s="204">
        <f>Metrika!AX13/Metrika!AX12</f>
        <v>0.7857142857</v>
      </c>
      <c r="AY12" s="204">
        <f>Metrika!AY13/Metrika!AY12</f>
        <v>0.8</v>
      </c>
      <c r="AZ12" s="204">
        <f>Metrika!AZ13/Metrika!AZ12</f>
        <v>0.8857142857</v>
      </c>
      <c r="BA12" s="204">
        <f>Metrika!BA13/Metrika!BA12</f>
        <v>0.9142857143</v>
      </c>
      <c r="BB12" s="203">
        <f>Metrika!BB13/Metrika!BB12</f>
        <v>0.7642857143</v>
      </c>
      <c r="BC12" s="204">
        <f>Metrika!BC13/Metrika!BC12</f>
        <v>0.7142857143</v>
      </c>
      <c r="BD12" s="204">
        <f>Metrika!BD13/Metrika!BD12</f>
        <v>0.7428571429</v>
      </c>
      <c r="BE12" s="204">
        <f>Metrika!BE13/Metrika!BE12</f>
        <v>0.7714285714</v>
      </c>
      <c r="BF12" s="204">
        <f>Metrika!BF13/Metrika!BF12</f>
        <v>0.8285714286</v>
      </c>
      <c r="BG12" s="202">
        <f>Metrika!BG13/Metrika!BG12</f>
        <v>0.994047619</v>
      </c>
      <c r="BH12" s="203">
        <f>Metrika!BH13/Metrika!BH12</f>
        <v>0.9107142857</v>
      </c>
      <c r="BI12" s="204">
        <f>Metrika!BI13/Metrika!BI12</f>
        <v>1</v>
      </c>
      <c r="BJ12" s="204">
        <f>Metrika!BJ13/Metrika!BJ12</f>
        <v>0.8571428571</v>
      </c>
      <c r="BK12" s="204">
        <f>Metrika!BK13/Metrika!BK12</f>
        <v>0.7857142857</v>
      </c>
      <c r="BL12" s="204">
        <f>Metrika!BL13/Metrika!BL12</f>
        <v>1</v>
      </c>
      <c r="BM12" s="203">
        <f>Metrika!BM13/Metrika!BM12</f>
        <v>1.107142857</v>
      </c>
      <c r="BN12" s="204">
        <f>Metrika!BN13/Metrika!BN12</f>
        <v>1.071428571</v>
      </c>
      <c r="BO12" s="204">
        <f>Metrika!BO13/Metrika!BO12</f>
        <v>1.142857143</v>
      </c>
      <c r="BP12" s="204">
        <f>Metrika!BP13/Metrika!BP12</f>
        <v>1</v>
      </c>
      <c r="BQ12" s="204">
        <f>Metrika!BQ13/Metrika!BQ12</f>
        <v>1.214285714</v>
      </c>
      <c r="BR12" s="203">
        <f>Metrika!BR13/Metrika!BR12</f>
        <v>0.9642857143</v>
      </c>
      <c r="BS12" s="204">
        <f>Metrika!BS13/Metrika!BS12</f>
        <v>0.8571428571</v>
      </c>
      <c r="BT12" s="204">
        <f>Metrika!BT13/Metrika!BT12</f>
        <v>0.9285714286</v>
      </c>
      <c r="BU12" s="204">
        <f>Metrika!BU13/Metrika!BU12</f>
        <v>1</v>
      </c>
      <c r="BV12" s="204">
        <f>Metrika!BV13/Metrika!BV12</f>
        <v>1.071428571</v>
      </c>
      <c r="BW12" s="200">
        <f>Metrika!BW13/Metrika!BW12</f>
        <v>0.9148809524</v>
      </c>
      <c r="BX12" s="201">
        <f>Metrika!BX13/Metrika!BX12</f>
        <v>0.9148809524</v>
      </c>
      <c r="BY12" s="202">
        <f>Metrika!BY13/Metrika!BY12</f>
        <v>0.8357142857</v>
      </c>
      <c r="BZ12" s="203">
        <f>Metrika!BZ13/Metrika!BZ12</f>
        <v>0.7642857143</v>
      </c>
      <c r="CA12" s="204">
        <f>Metrika!CA13/Metrika!CA12</f>
        <v>0.7142857143</v>
      </c>
      <c r="CB12" s="204">
        <f>Metrika!CB13/Metrika!CB12</f>
        <v>0.7428571429</v>
      </c>
      <c r="CC12" s="204">
        <f>Metrika!CC13/Metrika!CC12</f>
        <v>0.7714285714</v>
      </c>
      <c r="CD12" s="204">
        <f>Metrika!CD13/Metrika!CD12</f>
        <v>0.8285714286</v>
      </c>
      <c r="CE12" s="203">
        <f>Metrika!CE13/Metrika!CE12</f>
        <v>0.8964285714</v>
      </c>
      <c r="CF12" s="204">
        <f>Metrika!CF13/Metrika!CF12</f>
        <v>0.8571428571</v>
      </c>
      <c r="CG12" s="204">
        <f>Metrika!CG13/Metrika!CG12</f>
        <v>0.8857142857</v>
      </c>
      <c r="CH12" s="204">
        <f>Metrika!CH13/Metrika!CH12</f>
        <v>0.9285714286</v>
      </c>
      <c r="CI12" s="204">
        <f>Metrika!CI13/Metrika!CI12</f>
        <v>0.9142857143</v>
      </c>
      <c r="CJ12" s="203">
        <f>Metrika!CJ13/Metrika!CJ12</f>
        <v>0.8464285714</v>
      </c>
      <c r="CK12" s="204">
        <f>Metrika!CK13/Metrika!CK12</f>
        <v>0.7857142857</v>
      </c>
      <c r="CL12" s="204">
        <f>Metrika!CL13/Metrika!CL12</f>
        <v>0.8</v>
      </c>
      <c r="CM12" s="204">
        <f>Metrika!CM13/Metrika!CM12</f>
        <v>0.8857142857</v>
      </c>
      <c r="CN12" s="204">
        <f>Metrika!CN13/Metrika!CN12</f>
        <v>0.9142857143</v>
      </c>
      <c r="CO12" s="202">
        <f>Metrika!CO13/Metrika!CO12</f>
        <v>0.994047619</v>
      </c>
      <c r="CP12" s="203">
        <f>Metrika!CP13/Metrika!CP12</f>
        <v>0.9642857143</v>
      </c>
      <c r="CQ12" s="204">
        <f>Metrika!CQ13/Metrika!CQ12</f>
        <v>0.8571428571</v>
      </c>
      <c r="CR12" s="204">
        <f>Metrika!CR13/Metrika!CR12</f>
        <v>0.9285714286</v>
      </c>
      <c r="CS12" s="204">
        <f>Metrika!CS13/Metrika!CS12</f>
        <v>1</v>
      </c>
      <c r="CT12" s="204">
        <f>Metrika!CT13/Metrika!CT12</f>
        <v>1.071428571</v>
      </c>
      <c r="CU12" s="203">
        <f>Metrika!CU13/Metrika!CU12</f>
        <v>0.9107142857</v>
      </c>
      <c r="CV12" s="204">
        <f>Metrika!CV13/Metrika!CV12</f>
        <v>1</v>
      </c>
      <c r="CW12" s="204">
        <f>Metrika!CW13/Metrika!CW12</f>
        <v>0.8571428571</v>
      </c>
      <c r="CX12" s="204">
        <f>Metrika!CX13/Metrika!CX12</f>
        <v>0.7857142857</v>
      </c>
      <c r="CY12" s="204">
        <f>Metrika!CY13/Metrika!CY12</f>
        <v>1</v>
      </c>
      <c r="CZ12" s="203">
        <f>Metrika!CZ13/Metrika!CZ12</f>
        <v>1.107142857</v>
      </c>
      <c r="DA12" s="204">
        <f>Metrika!DA13/Metrika!DA12</f>
        <v>1.071428571</v>
      </c>
      <c r="DB12" s="204">
        <f>Metrika!DB13/Metrika!DB12</f>
        <v>1.142857143</v>
      </c>
      <c r="DC12" s="204">
        <f>Metrika!DC13/Metrika!DC12</f>
        <v>1</v>
      </c>
      <c r="DD12" s="204">
        <f>Metrika!DD13/Metrika!DD12</f>
        <v>1.214285714</v>
      </c>
      <c r="DE12" s="201">
        <f>Metrika!DE13/Metrika!DE12</f>
        <v>0.9148809524</v>
      </c>
      <c r="DF12" s="202">
        <f>Metrika!DF13/Metrika!DF12</f>
        <v>0.994047619</v>
      </c>
      <c r="DG12" s="203">
        <f>Metrika!DG13/Metrika!DG12</f>
        <v>1.107142857</v>
      </c>
      <c r="DH12" s="204">
        <f>Metrika!DH13/Metrika!DH12</f>
        <v>1.071428571</v>
      </c>
      <c r="DI12" s="204">
        <f>Metrika!DI13/Metrika!DI12</f>
        <v>1.142857143</v>
      </c>
      <c r="DJ12" s="204">
        <f>Metrika!DJ13/Metrika!DJ12</f>
        <v>1</v>
      </c>
      <c r="DK12" s="204">
        <f>Metrika!DK13/Metrika!DK12</f>
        <v>1.214285714</v>
      </c>
      <c r="DL12" s="203">
        <f>Metrika!DL13/Metrika!DL12</f>
        <v>0.9642857143</v>
      </c>
      <c r="DM12" s="204">
        <f>Metrika!DM13/Metrika!DM12</f>
        <v>0.8571428571</v>
      </c>
      <c r="DN12" s="204">
        <f>Metrika!DN13/Metrika!DN12</f>
        <v>0.9285714286</v>
      </c>
      <c r="DO12" s="204">
        <f>Metrika!DO13/Metrika!DO12</f>
        <v>1</v>
      </c>
      <c r="DP12" s="204">
        <f>Metrika!DP13/Metrika!DP12</f>
        <v>1.071428571</v>
      </c>
      <c r="DQ12" s="203">
        <f>Metrika!DQ13/Metrika!DQ12</f>
        <v>0.9107142857</v>
      </c>
      <c r="DR12" s="204">
        <f>Metrika!DR13/Metrika!DR12</f>
        <v>1</v>
      </c>
      <c r="DS12" s="204">
        <f>Metrika!DS13/Metrika!DS12</f>
        <v>0.8571428571</v>
      </c>
      <c r="DT12" s="204">
        <f>Metrika!DT13/Metrika!DT12</f>
        <v>0.7857142857</v>
      </c>
      <c r="DU12" s="204">
        <f>Metrika!DU13/Metrika!DU12</f>
        <v>1</v>
      </c>
      <c r="DV12" s="202">
        <f>Metrika!DV13/Metrika!DV12</f>
        <v>0.8357142857</v>
      </c>
      <c r="DW12" s="203">
        <f>Metrika!DW13/Metrika!DW12</f>
        <v>0.8964285714</v>
      </c>
      <c r="DX12" s="204">
        <f>Metrika!DX13/Metrika!DX12</f>
        <v>0.8571428571</v>
      </c>
      <c r="DY12" s="204">
        <f>Metrika!DY13/Metrika!DY12</f>
        <v>0.8857142857</v>
      </c>
      <c r="DZ12" s="204">
        <f>Metrika!DZ13/Metrika!DZ12</f>
        <v>0.9285714286</v>
      </c>
      <c r="EA12" s="204">
        <f>Metrika!EA13/Metrika!EA12</f>
        <v>0.9142857143</v>
      </c>
      <c r="EB12" s="203">
        <f>Metrika!EB13/Metrika!EB12</f>
        <v>0.7642857143</v>
      </c>
      <c r="EC12" s="204">
        <f>Metrika!EC13/Metrika!EC12</f>
        <v>0.7142857143</v>
      </c>
      <c r="ED12" s="204">
        <f>Metrika!ED13/Metrika!ED12</f>
        <v>0.7428571429</v>
      </c>
      <c r="EE12" s="204">
        <f>Metrika!EE13/Metrika!EE12</f>
        <v>0.7714285714</v>
      </c>
      <c r="EF12" s="204">
        <f>Metrika!EF13/Metrika!EF12</f>
        <v>0.8285714286</v>
      </c>
      <c r="EG12" s="203">
        <f>Metrika!EG13/Metrika!EG12</f>
        <v>0.8464285714</v>
      </c>
      <c r="EH12" s="204">
        <f>Metrika!EH13/Metrika!EH12</f>
        <v>0.7857142857</v>
      </c>
      <c r="EI12" s="204">
        <f>Metrika!EI13/Metrika!EI12</f>
        <v>0.8</v>
      </c>
      <c r="EJ12" s="204">
        <f>Metrika!EJ13/Metrika!EJ12</f>
        <v>0.8857142857</v>
      </c>
      <c r="EK12" s="204">
        <f>Metrika!EK13/Metrika!EK12</f>
        <v>0.9142857143</v>
      </c>
      <c r="EL12" s="200">
        <f>Metrika!EL13/Metrika!EL12</f>
        <v>0.9148809524</v>
      </c>
      <c r="EM12" s="201">
        <f>Metrika!EM13/Metrika!EM12</f>
        <v>0.9148809524</v>
      </c>
      <c r="EN12" s="202">
        <f>Metrika!EN13/Metrika!EN12</f>
        <v>0.8357142857</v>
      </c>
      <c r="EO12" s="203">
        <f>Metrika!EO13/Metrika!EO12</f>
        <v>0.7642857143</v>
      </c>
      <c r="EP12" s="204">
        <f>Metrika!EP13/Metrika!EP12</f>
        <v>0.7142857143</v>
      </c>
      <c r="EQ12" s="204">
        <f>Metrika!EQ13/Metrika!EQ12</f>
        <v>0.7428571429</v>
      </c>
      <c r="ER12" s="204">
        <f>Metrika!ER13/Metrika!ER12</f>
        <v>0.7714285714</v>
      </c>
      <c r="ES12" s="204">
        <f>Metrika!ES13/Metrika!ES12</f>
        <v>0.8285714286</v>
      </c>
      <c r="ET12" s="203">
        <f>Metrika!ET13/Metrika!ET12</f>
        <v>0.8464285714</v>
      </c>
      <c r="EU12" s="204">
        <f>Metrika!EU13/Metrika!EU12</f>
        <v>0.7857142857</v>
      </c>
      <c r="EV12" s="204">
        <f>Metrika!EV13/Metrika!EV12</f>
        <v>0.8</v>
      </c>
      <c r="EW12" s="204">
        <f>Metrika!EW13/Metrika!EW12</f>
        <v>0.8857142857</v>
      </c>
      <c r="EX12" s="204">
        <f>Metrika!EX13/Metrika!EX12</f>
        <v>0.9142857143</v>
      </c>
      <c r="EY12" s="203">
        <f>Metrika!EY13/Metrika!EY12</f>
        <v>0.8964285714</v>
      </c>
      <c r="EZ12" s="204">
        <f>Metrika!EZ13/Metrika!EZ12</f>
        <v>0.8571428571</v>
      </c>
      <c r="FA12" s="204">
        <f>Metrika!FA13/Metrika!FA12</f>
        <v>0.8857142857</v>
      </c>
      <c r="FB12" s="204">
        <f>Metrika!FB13/Metrika!FB12</f>
        <v>0.9285714286</v>
      </c>
      <c r="FC12" s="204">
        <f>Metrika!FC13/Metrika!FC12</f>
        <v>0.9142857143</v>
      </c>
      <c r="FD12" s="202">
        <f>Metrika!FD13/Metrika!FD12</f>
        <v>0.994047619</v>
      </c>
      <c r="FE12" s="203">
        <f>Metrika!FE13/Metrika!FE12</f>
        <v>0.9642857143</v>
      </c>
      <c r="FF12" s="204">
        <f>Metrika!FF13/Metrika!FF12</f>
        <v>0.8571428571</v>
      </c>
      <c r="FG12" s="204">
        <f>Metrika!FG13/Metrika!FG12</f>
        <v>0.9285714286</v>
      </c>
      <c r="FH12" s="204">
        <f>Metrika!FH13/Metrika!FH12</f>
        <v>1</v>
      </c>
      <c r="FI12" s="204">
        <f>Metrika!FI13/Metrika!FI12</f>
        <v>1.071428571</v>
      </c>
      <c r="FJ12" s="203">
        <f>Metrika!FJ13/Metrika!FJ12</f>
        <v>0.9107142857</v>
      </c>
      <c r="FK12" s="204">
        <f>Metrika!FK13/Metrika!FK12</f>
        <v>1</v>
      </c>
      <c r="FL12" s="204">
        <f>Metrika!FL13/Metrika!FL12</f>
        <v>0.8571428571</v>
      </c>
      <c r="FM12" s="204">
        <f>Metrika!FM13/Metrika!FM12</f>
        <v>0.7857142857</v>
      </c>
      <c r="FN12" s="204">
        <f>Metrika!FN13/Metrika!FN12</f>
        <v>1</v>
      </c>
      <c r="FO12" s="203">
        <f>Metrika!FO13/Metrika!FO12</f>
        <v>1.107142857</v>
      </c>
      <c r="FP12" s="204">
        <f>Metrika!FP13/Metrika!FP12</f>
        <v>1.071428571</v>
      </c>
      <c r="FQ12" s="204">
        <f>Metrika!FQ13/Metrika!FQ12</f>
        <v>1.142857143</v>
      </c>
      <c r="FR12" s="204">
        <f>Metrika!FR13/Metrika!FR12</f>
        <v>1</v>
      </c>
      <c r="FS12" s="204">
        <f>Metrika!FS13/Metrika!FS12</f>
        <v>1.214285714</v>
      </c>
      <c r="FT12" s="201">
        <f>Metrika!FT13/Metrika!FT12</f>
        <v>0.9148809524</v>
      </c>
      <c r="FU12" s="202">
        <f>Metrika!FU13/Metrika!FU12</f>
        <v>0.994047619</v>
      </c>
      <c r="FV12" s="203">
        <f>Metrika!FV13/Metrika!FV12</f>
        <v>1.107142857</v>
      </c>
      <c r="FW12" s="204">
        <f>Metrika!FW13/Metrika!FW12</f>
        <v>1.071428571</v>
      </c>
      <c r="FX12" s="204">
        <f>Metrika!FX13/Metrika!FX12</f>
        <v>1.142857143</v>
      </c>
      <c r="FY12" s="204">
        <f>Metrika!FY13/Metrika!FY12</f>
        <v>1</v>
      </c>
      <c r="FZ12" s="204">
        <f>Metrika!FZ13/Metrika!FZ12</f>
        <v>1.214285714</v>
      </c>
      <c r="GA12" s="203">
        <f>Metrika!GA13/Metrika!GA12</f>
        <v>0.9642857143</v>
      </c>
      <c r="GB12" s="204">
        <f>Metrika!GB13/Metrika!GB12</f>
        <v>0.8571428571</v>
      </c>
      <c r="GC12" s="204">
        <f>Metrika!GC13/Metrika!GC12</f>
        <v>0.9285714286</v>
      </c>
      <c r="GD12" s="204">
        <f>Metrika!GD13/Metrika!GD12</f>
        <v>1</v>
      </c>
      <c r="GE12" s="204">
        <f>Metrika!GE13/Metrika!GE12</f>
        <v>1.071428571</v>
      </c>
      <c r="GF12" s="203">
        <f>Metrika!GF13/Metrika!GF12</f>
        <v>0.9107142857</v>
      </c>
      <c r="GG12" s="204">
        <f>Metrika!GG13/Metrika!GG12</f>
        <v>1</v>
      </c>
      <c r="GH12" s="204">
        <f>Metrika!GH13/Metrika!GH12</f>
        <v>0.8571428571</v>
      </c>
      <c r="GI12" s="204">
        <f>Metrika!GI13/Metrika!GI12</f>
        <v>0.7857142857</v>
      </c>
      <c r="GJ12" s="204">
        <f>Metrika!GJ13/Metrika!GJ12</f>
        <v>1</v>
      </c>
      <c r="GK12" s="202">
        <f>Metrika!GK13/Metrika!GK12</f>
        <v>0.8357142857</v>
      </c>
      <c r="GL12" s="203">
        <f>Metrika!GL13/Metrika!GL12</f>
        <v>0.8464285714</v>
      </c>
      <c r="GM12" s="204">
        <f>Metrika!GM13/Metrika!GM12</f>
        <v>0.7857142857</v>
      </c>
      <c r="GN12" s="204">
        <f>Metrika!GN13/Metrika!GN12</f>
        <v>0.8</v>
      </c>
      <c r="GO12" s="204">
        <f>Metrika!GO13/Metrika!GO12</f>
        <v>0.8857142857</v>
      </c>
      <c r="GP12" s="204">
        <f>Metrika!GP13/Metrika!GP12</f>
        <v>0.9142857143</v>
      </c>
      <c r="GQ12" s="203">
        <f>Metrika!GQ13/Metrika!GQ12</f>
        <v>0.7642857143</v>
      </c>
      <c r="GR12" s="204">
        <f>Metrika!GR13/Metrika!GR12</f>
        <v>0.7142857143</v>
      </c>
      <c r="GS12" s="204">
        <f>Metrika!GS13/Metrika!GS12</f>
        <v>0.7428571429</v>
      </c>
      <c r="GT12" s="204">
        <f>Metrika!GT13/Metrika!GT12</f>
        <v>0.7714285714</v>
      </c>
      <c r="GU12" s="204">
        <f>Metrika!GU13/Metrika!GU12</f>
        <v>0.8285714286</v>
      </c>
      <c r="GV12" s="203">
        <f>Metrika!GV13/Metrika!GV12</f>
        <v>0.8964285714</v>
      </c>
      <c r="GW12" s="204">
        <f>Metrika!GW13/Metrika!GW12</f>
        <v>0.8571428571</v>
      </c>
      <c r="GX12" s="204">
        <f>Metrika!GX13/Metrika!GX12</f>
        <v>0.8857142857</v>
      </c>
      <c r="GY12" s="204">
        <f>Metrika!GY13/Metrika!GY12</f>
        <v>0.9285714286</v>
      </c>
      <c r="GZ12" s="204">
        <f>Metrika!GZ13/Metrika!GZ12</f>
        <v>0.9142857143</v>
      </c>
      <c r="HA12" s="198"/>
    </row>
    <row r="13" ht="15.75" customHeight="1">
      <c r="A13" s="195"/>
      <c r="B13" s="78"/>
      <c r="C13" s="78"/>
      <c r="D13" s="78"/>
      <c r="E13" s="80" t="s">
        <v>26</v>
      </c>
      <c r="F13" s="198"/>
      <c r="G13" s="78"/>
      <c r="H13" s="78"/>
      <c r="I13" s="78"/>
      <c r="J13" s="78"/>
      <c r="K13" s="78"/>
      <c r="L13" s="78"/>
      <c r="M13" s="78"/>
      <c r="N13" s="78"/>
      <c r="O13" s="78"/>
      <c r="P13" s="78"/>
      <c r="Q13" s="78"/>
      <c r="R13" s="78"/>
      <c r="S13" s="78"/>
      <c r="T13" s="78"/>
      <c r="U13" s="78"/>
      <c r="V13" s="78"/>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78"/>
      <c r="AX13" s="78"/>
      <c r="AY13" s="78"/>
      <c r="AZ13" s="78"/>
      <c r="BA13" s="78"/>
      <c r="BB13" s="78"/>
      <c r="BC13" s="78"/>
      <c r="BD13" s="78"/>
      <c r="BE13" s="78"/>
      <c r="BF13" s="78"/>
      <c r="BG13" s="78"/>
      <c r="BH13" s="78"/>
      <c r="BI13" s="78"/>
      <c r="BJ13" s="78"/>
      <c r="BK13" s="78"/>
      <c r="BL13" s="78"/>
      <c r="BM13" s="78"/>
      <c r="BN13" s="78"/>
      <c r="BO13" s="78"/>
      <c r="BP13" s="78"/>
      <c r="BQ13" s="78"/>
      <c r="BR13" s="78"/>
      <c r="BS13" s="78"/>
      <c r="BT13" s="78"/>
      <c r="BU13" s="78"/>
      <c r="BV13" s="78"/>
      <c r="BW13" s="78"/>
      <c r="BX13" s="78"/>
      <c r="BY13" s="78"/>
      <c r="BZ13" s="78"/>
      <c r="CA13" s="78"/>
      <c r="CB13" s="78"/>
      <c r="CC13" s="78"/>
      <c r="CD13" s="78"/>
      <c r="CE13" s="78"/>
      <c r="CF13" s="78"/>
      <c r="CG13" s="78"/>
      <c r="CH13" s="78"/>
      <c r="CI13" s="78"/>
      <c r="CJ13" s="78"/>
      <c r="CK13" s="78"/>
      <c r="CL13" s="78"/>
      <c r="CM13" s="78"/>
      <c r="CN13" s="78"/>
      <c r="CO13" s="78"/>
      <c r="CP13" s="78"/>
      <c r="CQ13" s="78"/>
      <c r="CR13" s="78"/>
      <c r="CS13" s="78"/>
      <c r="CT13" s="78"/>
      <c r="CU13" s="78"/>
      <c r="CV13" s="78"/>
      <c r="CW13" s="78"/>
      <c r="CX13" s="78"/>
      <c r="CY13" s="78"/>
      <c r="CZ13" s="78"/>
      <c r="DA13" s="78"/>
      <c r="DB13" s="78"/>
      <c r="DC13" s="78"/>
      <c r="DD13" s="78"/>
      <c r="DE13" s="78"/>
      <c r="DF13" s="78"/>
      <c r="DG13" s="78"/>
      <c r="DH13" s="78"/>
      <c r="DI13" s="78"/>
      <c r="DJ13" s="78"/>
      <c r="DK13" s="78"/>
      <c r="DL13" s="78"/>
      <c r="DM13" s="78"/>
      <c r="DN13" s="78"/>
      <c r="DO13" s="78"/>
      <c r="DP13" s="78"/>
      <c r="DQ13" s="78"/>
      <c r="DR13" s="78"/>
      <c r="DS13" s="78"/>
      <c r="DT13" s="78"/>
      <c r="DU13" s="78"/>
      <c r="DV13" s="78"/>
      <c r="DW13" s="78"/>
      <c r="DX13" s="78"/>
      <c r="DY13" s="78"/>
      <c r="DZ13" s="78"/>
      <c r="EA13" s="78"/>
      <c r="EB13" s="78"/>
      <c r="EC13" s="78"/>
      <c r="ED13" s="78"/>
      <c r="EE13" s="78"/>
      <c r="EF13" s="78"/>
      <c r="EG13" s="78"/>
      <c r="EH13" s="78"/>
      <c r="EI13" s="78"/>
      <c r="EJ13" s="78"/>
      <c r="EK13" s="78"/>
      <c r="EL13" s="78"/>
      <c r="EM13" s="78"/>
      <c r="EN13" s="78"/>
      <c r="EO13" s="78"/>
      <c r="EP13" s="78"/>
      <c r="EQ13" s="78"/>
      <c r="ER13" s="78"/>
      <c r="ES13" s="78"/>
      <c r="ET13" s="78"/>
      <c r="EU13" s="78"/>
      <c r="EV13" s="78"/>
      <c r="EW13" s="78"/>
      <c r="EX13" s="78"/>
      <c r="EY13" s="78"/>
      <c r="EZ13" s="78"/>
      <c r="FA13" s="78"/>
      <c r="FB13" s="78"/>
      <c r="FC13" s="78"/>
      <c r="FD13" s="78"/>
      <c r="FE13" s="78"/>
      <c r="FF13" s="78"/>
      <c r="FG13" s="78"/>
      <c r="FH13" s="78"/>
      <c r="FI13" s="78"/>
      <c r="FJ13" s="78"/>
      <c r="FK13" s="78"/>
      <c r="FL13" s="78"/>
      <c r="FM13" s="78"/>
      <c r="FN13" s="78"/>
      <c r="FO13" s="78"/>
      <c r="FP13" s="78"/>
      <c r="FQ13" s="78"/>
      <c r="FR13" s="78"/>
      <c r="FS13" s="78"/>
      <c r="FT13" s="78"/>
      <c r="FU13" s="78"/>
      <c r="FV13" s="78"/>
      <c r="FW13" s="78"/>
      <c r="FX13" s="78"/>
      <c r="FY13" s="78"/>
      <c r="FZ13" s="78"/>
      <c r="GA13" s="78"/>
      <c r="GB13" s="78"/>
      <c r="GC13" s="78"/>
      <c r="GD13" s="78"/>
      <c r="GE13" s="78"/>
      <c r="GF13" s="78"/>
      <c r="GG13" s="78"/>
      <c r="GH13" s="78"/>
      <c r="GI13" s="78"/>
      <c r="GJ13" s="78"/>
      <c r="GK13" s="78"/>
      <c r="GL13" s="78"/>
      <c r="GM13" s="78"/>
      <c r="GN13" s="78"/>
      <c r="GO13" s="78"/>
      <c r="GP13" s="78"/>
      <c r="GQ13" s="78"/>
      <c r="GR13" s="78"/>
      <c r="GS13" s="78"/>
      <c r="GT13" s="78"/>
      <c r="GU13" s="78"/>
      <c r="GV13" s="78"/>
      <c r="GW13" s="78"/>
      <c r="GX13" s="78"/>
      <c r="GY13" s="78"/>
      <c r="GZ13" s="78"/>
      <c r="HA13" s="198"/>
    </row>
    <row r="14" ht="15.75" customHeight="1">
      <c r="A14" s="195"/>
      <c r="B14" s="197" t="s">
        <v>44</v>
      </c>
      <c r="C14" s="87">
        <v>1.0</v>
      </c>
      <c r="D14" s="102" t="s">
        <v>46</v>
      </c>
      <c r="E14" s="80" t="s">
        <v>19</v>
      </c>
      <c r="F14" s="198"/>
      <c r="G14" s="199">
        <f>Metrika!G15/Metrika!G14</f>
        <v>0.8732993197</v>
      </c>
      <c r="H14" s="200">
        <f>Metrika!H15/Metrika!H14</f>
        <v>0.8732993197</v>
      </c>
      <c r="I14" s="201">
        <f>Metrika!I15/Metrika!I14</f>
        <v>0.8732993197</v>
      </c>
      <c r="J14" s="202">
        <f>Metrika!J15/Metrika!J14</f>
        <v>0.9574829932</v>
      </c>
      <c r="K14" s="203">
        <f>Metrika!K15/Metrika!K14</f>
        <v>0.943877551</v>
      </c>
      <c r="L14" s="204">
        <f>Metrika!L15/Metrika!L14</f>
        <v>0.9183673469</v>
      </c>
      <c r="M14" s="204">
        <f>Metrika!M15/Metrika!M14</f>
        <v>1.020408163</v>
      </c>
      <c r="N14" s="204">
        <f>Metrika!N15/Metrika!N14</f>
        <v>0.8979591837</v>
      </c>
      <c r="O14" s="204">
        <f>Metrika!O15/Metrika!O14</f>
        <v>0.9387755102</v>
      </c>
      <c r="P14" s="203">
        <f>Metrika!P15/Metrika!P14</f>
        <v>0.9693877551</v>
      </c>
      <c r="Q14" s="204">
        <f>Metrika!Q15/Metrika!Q14</f>
        <v>0.8163265306</v>
      </c>
      <c r="R14" s="204">
        <f>Metrika!R15/Metrika!R14</f>
        <v>0.9795918367</v>
      </c>
      <c r="S14" s="204">
        <f>Metrika!S15/Metrika!S14</f>
        <v>1.06122449</v>
      </c>
      <c r="T14" s="204">
        <f>Metrika!T15/Metrika!T14</f>
        <v>1.020408163</v>
      </c>
      <c r="U14" s="203">
        <f>Metrika!U15/Metrika!U14</f>
        <v>0.9591836735</v>
      </c>
      <c r="V14" s="204">
        <f>Metrika!V15/Metrika!V14</f>
        <v>0.9183673469</v>
      </c>
      <c r="W14" s="204">
        <f>Metrika!W15/Metrika!W14</f>
        <v>0.9387755102</v>
      </c>
      <c r="X14" s="204">
        <f>Metrika!X15/Metrika!X14</f>
        <v>0.9591836735</v>
      </c>
      <c r="Y14" s="204">
        <f>Metrika!Y15/Metrika!Y14</f>
        <v>1.020408163</v>
      </c>
      <c r="Z14" s="202">
        <f>Metrika!Z15/Metrika!Z14</f>
        <v>0.7891156463</v>
      </c>
      <c r="AA14" s="203">
        <f>Metrika!AA15/Metrika!AA14</f>
        <v>0.8265306122</v>
      </c>
      <c r="AB14" s="204">
        <f>Metrika!AB15/Metrika!AB14</f>
        <v>0.7959183673</v>
      </c>
      <c r="AC14" s="204">
        <f>Metrika!AC15/Metrika!AC14</f>
        <v>0.8571428571</v>
      </c>
      <c r="AD14" s="204">
        <f>Metrika!AD15/Metrika!AD14</f>
        <v>0.8163265306</v>
      </c>
      <c r="AE14" s="204">
        <f>Metrika!AE15/Metrika!AE14</f>
        <v>0.8367346939</v>
      </c>
      <c r="AF14" s="203">
        <f>Metrika!AF15/Metrika!AF14</f>
        <v>0.7908163265</v>
      </c>
      <c r="AG14" s="204">
        <f>Metrika!AG15/Metrika!AG14</f>
        <v>0.8163265306</v>
      </c>
      <c r="AH14" s="204">
        <f>Metrika!AH15/Metrika!AH14</f>
        <v>0.8367346939</v>
      </c>
      <c r="AI14" s="204">
        <f>Metrika!AI15/Metrika!AI14</f>
        <v>0.7959183673</v>
      </c>
      <c r="AJ14" s="204">
        <f>Metrika!AJ15/Metrika!AJ14</f>
        <v>0.7142857143</v>
      </c>
      <c r="AK14" s="203">
        <f>Metrika!AK15/Metrika!AK14</f>
        <v>0.75</v>
      </c>
      <c r="AL14" s="204">
        <f>Metrika!AL15/Metrika!AL14</f>
        <v>0.693877551</v>
      </c>
      <c r="AM14" s="204">
        <f>Metrika!AM15/Metrika!AM14</f>
        <v>0.6530612245</v>
      </c>
      <c r="AN14" s="204">
        <f>Metrika!AN15/Metrika!AN14</f>
        <v>0.7959183673</v>
      </c>
      <c r="AO14" s="204">
        <f>Metrika!AO15/Metrika!AO14</f>
        <v>0.8571428571</v>
      </c>
      <c r="AP14" s="201">
        <f>Metrika!AP15/Metrika!AP14</f>
        <v>0.8732993197</v>
      </c>
      <c r="AQ14" s="202">
        <f>Metrika!AQ15/Metrika!AQ14</f>
        <v>0.7891156463</v>
      </c>
      <c r="AR14" s="203">
        <f>Metrika!AR15/Metrika!AR14</f>
        <v>0.75</v>
      </c>
      <c r="AS14" s="204">
        <f>Metrika!AS15/Metrika!AS14</f>
        <v>0.693877551</v>
      </c>
      <c r="AT14" s="204">
        <f>Metrika!AT15/Metrika!AT14</f>
        <v>0.6530612245</v>
      </c>
      <c r="AU14" s="204">
        <f>Metrika!AU15/Metrika!AU14</f>
        <v>0.7959183673</v>
      </c>
      <c r="AV14" s="204">
        <f>Metrika!AV15/Metrika!AV14</f>
        <v>0.8571428571</v>
      </c>
      <c r="AW14" s="203">
        <f>Metrika!AW15/Metrika!AW14</f>
        <v>0.8265306122</v>
      </c>
      <c r="AX14" s="204">
        <f>Metrika!AX15/Metrika!AX14</f>
        <v>0.7959183673</v>
      </c>
      <c r="AY14" s="204">
        <f>Metrika!AY15/Metrika!AY14</f>
        <v>0.8571428571</v>
      </c>
      <c r="AZ14" s="204">
        <f>Metrika!AZ15/Metrika!AZ14</f>
        <v>0.8163265306</v>
      </c>
      <c r="BA14" s="204">
        <f>Metrika!BA15/Metrika!BA14</f>
        <v>0.8367346939</v>
      </c>
      <c r="BB14" s="203">
        <f>Metrika!BB15/Metrika!BB14</f>
        <v>0.7908163265</v>
      </c>
      <c r="BC14" s="204">
        <f>Metrika!BC15/Metrika!BC14</f>
        <v>0.8163265306</v>
      </c>
      <c r="BD14" s="204">
        <f>Metrika!BD15/Metrika!BD14</f>
        <v>0.8367346939</v>
      </c>
      <c r="BE14" s="204">
        <f>Metrika!BE15/Metrika!BE14</f>
        <v>0.7959183673</v>
      </c>
      <c r="BF14" s="204">
        <f>Metrika!BF15/Metrika!BF14</f>
        <v>0.7142857143</v>
      </c>
      <c r="BG14" s="202">
        <f>Metrika!BG15/Metrika!BG14</f>
        <v>0.9574829932</v>
      </c>
      <c r="BH14" s="203">
        <f>Metrika!BH15/Metrika!BH14</f>
        <v>0.9693877551</v>
      </c>
      <c r="BI14" s="204">
        <f>Metrika!BI15/Metrika!BI14</f>
        <v>0.8163265306</v>
      </c>
      <c r="BJ14" s="204">
        <f>Metrika!BJ15/Metrika!BJ14</f>
        <v>0.9795918367</v>
      </c>
      <c r="BK14" s="204">
        <f>Metrika!BK15/Metrika!BK14</f>
        <v>1.06122449</v>
      </c>
      <c r="BL14" s="204">
        <f>Metrika!BL15/Metrika!BL14</f>
        <v>1.020408163</v>
      </c>
      <c r="BM14" s="203">
        <f>Metrika!BM15/Metrika!BM14</f>
        <v>0.9591836735</v>
      </c>
      <c r="BN14" s="204">
        <f>Metrika!BN15/Metrika!BN14</f>
        <v>0.9183673469</v>
      </c>
      <c r="BO14" s="204">
        <f>Metrika!BO15/Metrika!BO14</f>
        <v>0.9387755102</v>
      </c>
      <c r="BP14" s="204">
        <f>Metrika!BP15/Metrika!BP14</f>
        <v>0.9591836735</v>
      </c>
      <c r="BQ14" s="204">
        <f>Metrika!BQ15/Metrika!BQ14</f>
        <v>1.020408163</v>
      </c>
      <c r="BR14" s="203">
        <f>Metrika!BR15/Metrika!BR14</f>
        <v>0.943877551</v>
      </c>
      <c r="BS14" s="204">
        <f>Metrika!BS15/Metrika!BS14</f>
        <v>0.9183673469</v>
      </c>
      <c r="BT14" s="204">
        <f>Metrika!BT15/Metrika!BT14</f>
        <v>1.020408163</v>
      </c>
      <c r="BU14" s="204">
        <f>Metrika!BU15/Metrika!BU14</f>
        <v>0.8979591837</v>
      </c>
      <c r="BV14" s="204">
        <f>Metrika!BV15/Metrika!BV14</f>
        <v>0.9387755102</v>
      </c>
      <c r="BW14" s="200">
        <f>Metrika!BW15/Metrika!BW14</f>
        <v>0.8732993197</v>
      </c>
      <c r="BX14" s="201">
        <f>Metrika!BX15/Metrika!BX14</f>
        <v>0.8732993197</v>
      </c>
      <c r="BY14" s="202">
        <f>Metrika!BY15/Metrika!BY14</f>
        <v>0.7891156463</v>
      </c>
      <c r="BZ14" s="203">
        <f>Metrika!BZ15/Metrika!BZ14</f>
        <v>0.7908163265</v>
      </c>
      <c r="CA14" s="204">
        <f>Metrika!CA15/Metrika!CA14</f>
        <v>0.8163265306</v>
      </c>
      <c r="CB14" s="204">
        <f>Metrika!CB15/Metrika!CB14</f>
        <v>0.8367346939</v>
      </c>
      <c r="CC14" s="204">
        <f>Metrika!CC15/Metrika!CC14</f>
        <v>0.7959183673</v>
      </c>
      <c r="CD14" s="204">
        <f>Metrika!CD15/Metrika!CD14</f>
        <v>0.7142857143</v>
      </c>
      <c r="CE14" s="203">
        <f>Metrika!CE15/Metrika!CE14</f>
        <v>0.75</v>
      </c>
      <c r="CF14" s="204">
        <f>Metrika!CF15/Metrika!CF14</f>
        <v>0.693877551</v>
      </c>
      <c r="CG14" s="204">
        <f>Metrika!CG15/Metrika!CG14</f>
        <v>0.6530612245</v>
      </c>
      <c r="CH14" s="204">
        <f>Metrika!CH15/Metrika!CH14</f>
        <v>0.7959183673</v>
      </c>
      <c r="CI14" s="204">
        <f>Metrika!CI15/Metrika!CI14</f>
        <v>0.8571428571</v>
      </c>
      <c r="CJ14" s="203">
        <f>Metrika!CJ15/Metrika!CJ14</f>
        <v>0.8265306122</v>
      </c>
      <c r="CK14" s="204">
        <f>Metrika!CK15/Metrika!CK14</f>
        <v>0.7959183673</v>
      </c>
      <c r="CL14" s="204">
        <f>Metrika!CL15/Metrika!CL14</f>
        <v>0.8571428571</v>
      </c>
      <c r="CM14" s="204">
        <f>Metrika!CM15/Metrika!CM14</f>
        <v>0.8163265306</v>
      </c>
      <c r="CN14" s="204">
        <f>Metrika!CN15/Metrika!CN14</f>
        <v>0.8367346939</v>
      </c>
      <c r="CO14" s="202">
        <f>Metrika!CO15/Metrika!CO14</f>
        <v>0.9574829932</v>
      </c>
      <c r="CP14" s="203">
        <f>Metrika!CP15/Metrika!CP14</f>
        <v>0.943877551</v>
      </c>
      <c r="CQ14" s="204">
        <f>Metrika!CQ15/Metrika!CQ14</f>
        <v>0.9183673469</v>
      </c>
      <c r="CR14" s="204">
        <f>Metrika!CR15/Metrika!CR14</f>
        <v>1.020408163</v>
      </c>
      <c r="CS14" s="204">
        <f>Metrika!CS15/Metrika!CS14</f>
        <v>0.8979591837</v>
      </c>
      <c r="CT14" s="204">
        <f>Metrika!CT15/Metrika!CT14</f>
        <v>0.9387755102</v>
      </c>
      <c r="CU14" s="203">
        <f>Metrika!CU15/Metrika!CU14</f>
        <v>0.9693877551</v>
      </c>
      <c r="CV14" s="204">
        <f>Metrika!CV15/Metrika!CV14</f>
        <v>0.8163265306</v>
      </c>
      <c r="CW14" s="204">
        <f>Metrika!CW15/Metrika!CW14</f>
        <v>0.9795918367</v>
      </c>
      <c r="CX14" s="204">
        <f>Metrika!CX15/Metrika!CX14</f>
        <v>1.06122449</v>
      </c>
      <c r="CY14" s="204">
        <f>Metrika!CY15/Metrika!CY14</f>
        <v>1.020408163</v>
      </c>
      <c r="CZ14" s="203">
        <f>Metrika!CZ15/Metrika!CZ14</f>
        <v>0.9591836735</v>
      </c>
      <c r="DA14" s="204">
        <f>Metrika!DA15/Metrika!DA14</f>
        <v>0.9183673469</v>
      </c>
      <c r="DB14" s="204">
        <f>Metrika!DB15/Metrika!DB14</f>
        <v>0.9387755102</v>
      </c>
      <c r="DC14" s="204">
        <f>Metrika!DC15/Metrika!DC14</f>
        <v>0.9591836735</v>
      </c>
      <c r="DD14" s="204">
        <f>Metrika!DD15/Metrika!DD14</f>
        <v>1.020408163</v>
      </c>
      <c r="DE14" s="201">
        <f>Metrika!DE15/Metrika!DE14</f>
        <v>0.8732993197</v>
      </c>
      <c r="DF14" s="202">
        <f>Metrika!DF15/Metrika!DF14</f>
        <v>0.9574829932</v>
      </c>
      <c r="DG14" s="203">
        <f>Metrika!DG15/Metrika!DG14</f>
        <v>0.9591836735</v>
      </c>
      <c r="DH14" s="204">
        <f>Metrika!DH15/Metrika!DH14</f>
        <v>0.9183673469</v>
      </c>
      <c r="DI14" s="204">
        <f>Metrika!DI15/Metrika!DI14</f>
        <v>0.9387755102</v>
      </c>
      <c r="DJ14" s="204">
        <f>Metrika!DJ15/Metrika!DJ14</f>
        <v>0.9591836735</v>
      </c>
      <c r="DK14" s="204">
        <f>Metrika!DK15/Metrika!DK14</f>
        <v>1.020408163</v>
      </c>
      <c r="DL14" s="203">
        <f>Metrika!DL15/Metrika!DL14</f>
        <v>0.943877551</v>
      </c>
      <c r="DM14" s="204">
        <f>Metrika!DM15/Metrika!DM14</f>
        <v>0.9183673469</v>
      </c>
      <c r="DN14" s="204">
        <f>Metrika!DN15/Metrika!DN14</f>
        <v>1.020408163</v>
      </c>
      <c r="DO14" s="204">
        <f>Metrika!DO15/Metrika!DO14</f>
        <v>0.8979591837</v>
      </c>
      <c r="DP14" s="204">
        <f>Metrika!DP15/Metrika!DP14</f>
        <v>0.9387755102</v>
      </c>
      <c r="DQ14" s="203">
        <f>Metrika!DQ15/Metrika!DQ14</f>
        <v>0.9693877551</v>
      </c>
      <c r="DR14" s="204">
        <f>Metrika!DR15/Metrika!DR14</f>
        <v>0.8163265306</v>
      </c>
      <c r="DS14" s="204">
        <f>Metrika!DS15/Metrika!DS14</f>
        <v>0.9795918367</v>
      </c>
      <c r="DT14" s="204">
        <f>Metrika!DT15/Metrika!DT14</f>
        <v>1.06122449</v>
      </c>
      <c r="DU14" s="204">
        <f>Metrika!DU15/Metrika!DU14</f>
        <v>1.020408163</v>
      </c>
      <c r="DV14" s="202">
        <f>Metrika!DV15/Metrika!DV14</f>
        <v>0.7891156463</v>
      </c>
      <c r="DW14" s="203">
        <f>Metrika!DW15/Metrika!DW14</f>
        <v>0.75</v>
      </c>
      <c r="DX14" s="204">
        <f>Metrika!DX15/Metrika!DX14</f>
        <v>0.693877551</v>
      </c>
      <c r="DY14" s="204">
        <f>Metrika!DY15/Metrika!DY14</f>
        <v>0.6530612245</v>
      </c>
      <c r="DZ14" s="204">
        <f>Metrika!DZ15/Metrika!DZ14</f>
        <v>0.7959183673</v>
      </c>
      <c r="EA14" s="204">
        <f>Metrika!EA15/Metrika!EA14</f>
        <v>0.8571428571</v>
      </c>
      <c r="EB14" s="203">
        <f>Metrika!EB15/Metrika!EB14</f>
        <v>0.7908163265</v>
      </c>
      <c r="EC14" s="204">
        <f>Metrika!EC15/Metrika!EC14</f>
        <v>0.8163265306</v>
      </c>
      <c r="ED14" s="204">
        <f>Metrika!ED15/Metrika!ED14</f>
        <v>0.8367346939</v>
      </c>
      <c r="EE14" s="204">
        <f>Metrika!EE15/Metrika!EE14</f>
        <v>0.7959183673</v>
      </c>
      <c r="EF14" s="204">
        <f>Metrika!EF15/Metrika!EF14</f>
        <v>0.7142857143</v>
      </c>
      <c r="EG14" s="203">
        <f>Metrika!EG15/Metrika!EG14</f>
        <v>0.8265306122</v>
      </c>
      <c r="EH14" s="204">
        <f>Metrika!EH15/Metrika!EH14</f>
        <v>0.7959183673</v>
      </c>
      <c r="EI14" s="204">
        <f>Metrika!EI15/Metrika!EI14</f>
        <v>0.8571428571</v>
      </c>
      <c r="EJ14" s="204">
        <f>Metrika!EJ15/Metrika!EJ14</f>
        <v>0.8163265306</v>
      </c>
      <c r="EK14" s="204">
        <f>Metrika!EK15/Metrika!EK14</f>
        <v>0.8367346939</v>
      </c>
      <c r="EL14" s="200">
        <f>Metrika!EL15/Metrika!EL14</f>
        <v>0.8732993197</v>
      </c>
      <c r="EM14" s="201">
        <f>Metrika!EM15/Metrika!EM14</f>
        <v>0.8732993197</v>
      </c>
      <c r="EN14" s="202">
        <f>Metrika!EN15/Metrika!EN14</f>
        <v>0.7891156463</v>
      </c>
      <c r="EO14" s="203">
        <f>Metrika!EO15/Metrika!EO14</f>
        <v>0.7908163265</v>
      </c>
      <c r="EP14" s="204">
        <f>Metrika!EP15/Metrika!EP14</f>
        <v>0.8163265306</v>
      </c>
      <c r="EQ14" s="204">
        <f>Metrika!EQ15/Metrika!EQ14</f>
        <v>0.8367346939</v>
      </c>
      <c r="ER14" s="204">
        <f>Metrika!ER15/Metrika!ER14</f>
        <v>0.7959183673</v>
      </c>
      <c r="ES14" s="204">
        <f>Metrika!ES15/Metrika!ES14</f>
        <v>0.7142857143</v>
      </c>
      <c r="ET14" s="203">
        <f>Metrika!ET15/Metrika!ET14</f>
        <v>0.8265306122</v>
      </c>
      <c r="EU14" s="204">
        <f>Metrika!EU15/Metrika!EU14</f>
        <v>0.7959183673</v>
      </c>
      <c r="EV14" s="204">
        <f>Metrika!EV15/Metrika!EV14</f>
        <v>0.8571428571</v>
      </c>
      <c r="EW14" s="204">
        <f>Metrika!EW15/Metrika!EW14</f>
        <v>0.8163265306</v>
      </c>
      <c r="EX14" s="204">
        <f>Metrika!EX15/Metrika!EX14</f>
        <v>0.8367346939</v>
      </c>
      <c r="EY14" s="203">
        <f>Metrika!EY15/Metrika!EY14</f>
        <v>0.75</v>
      </c>
      <c r="EZ14" s="204">
        <f>Metrika!EZ15/Metrika!EZ14</f>
        <v>0.693877551</v>
      </c>
      <c r="FA14" s="204">
        <f>Metrika!FA15/Metrika!FA14</f>
        <v>0.6530612245</v>
      </c>
      <c r="FB14" s="204">
        <f>Metrika!FB15/Metrika!FB14</f>
        <v>0.7959183673</v>
      </c>
      <c r="FC14" s="204">
        <f>Metrika!FC15/Metrika!FC14</f>
        <v>0.8571428571</v>
      </c>
      <c r="FD14" s="202">
        <f>Metrika!FD15/Metrika!FD14</f>
        <v>0.9574829932</v>
      </c>
      <c r="FE14" s="203">
        <f>Metrika!FE15/Metrika!FE14</f>
        <v>0.943877551</v>
      </c>
      <c r="FF14" s="204">
        <f>Metrika!FF15/Metrika!FF14</f>
        <v>0.9183673469</v>
      </c>
      <c r="FG14" s="204">
        <f>Metrika!FG15/Metrika!FG14</f>
        <v>1.020408163</v>
      </c>
      <c r="FH14" s="204">
        <f>Metrika!FH15/Metrika!FH14</f>
        <v>0.8979591837</v>
      </c>
      <c r="FI14" s="204">
        <f>Metrika!FI15/Metrika!FI14</f>
        <v>0.9387755102</v>
      </c>
      <c r="FJ14" s="203">
        <f>Metrika!FJ15/Metrika!FJ14</f>
        <v>0.9693877551</v>
      </c>
      <c r="FK14" s="204">
        <f>Metrika!FK15/Metrika!FK14</f>
        <v>0.8163265306</v>
      </c>
      <c r="FL14" s="204">
        <f>Metrika!FL15/Metrika!FL14</f>
        <v>0.9795918367</v>
      </c>
      <c r="FM14" s="204">
        <f>Metrika!FM15/Metrika!FM14</f>
        <v>1.06122449</v>
      </c>
      <c r="FN14" s="204">
        <f>Metrika!FN15/Metrika!FN14</f>
        <v>1.020408163</v>
      </c>
      <c r="FO14" s="203">
        <f>Metrika!FO15/Metrika!FO14</f>
        <v>0.9591836735</v>
      </c>
      <c r="FP14" s="204">
        <f>Metrika!FP15/Metrika!FP14</f>
        <v>0.9183673469</v>
      </c>
      <c r="FQ14" s="204">
        <f>Metrika!FQ15/Metrika!FQ14</f>
        <v>0.9387755102</v>
      </c>
      <c r="FR14" s="204">
        <f>Metrika!FR15/Metrika!FR14</f>
        <v>0.9591836735</v>
      </c>
      <c r="FS14" s="204">
        <f>Metrika!FS15/Metrika!FS14</f>
        <v>1.020408163</v>
      </c>
      <c r="FT14" s="201">
        <f>Metrika!FT15/Metrika!FT14</f>
        <v>0.8732993197</v>
      </c>
      <c r="FU14" s="202">
        <f>Metrika!FU15/Metrika!FU14</f>
        <v>0.9574829932</v>
      </c>
      <c r="FV14" s="203">
        <f>Metrika!FV15/Metrika!FV14</f>
        <v>0.9591836735</v>
      </c>
      <c r="FW14" s="204">
        <f>Metrika!FW15/Metrika!FW14</f>
        <v>0.9183673469</v>
      </c>
      <c r="FX14" s="204">
        <f>Metrika!FX15/Metrika!FX14</f>
        <v>0.9387755102</v>
      </c>
      <c r="FY14" s="204">
        <f>Metrika!FY15/Metrika!FY14</f>
        <v>0.9591836735</v>
      </c>
      <c r="FZ14" s="204">
        <f>Metrika!FZ15/Metrika!FZ14</f>
        <v>1.020408163</v>
      </c>
      <c r="GA14" s="203">
        <f>Metrika!GA15/Metrika!GA14</f>
        <v>0.943877551</v>
      </c>
      <c r="GB14" s="204">
        <f>Metrika!GB15/Metrika!GB14</f>
        <v>0.9183673469</v>
      </c>
      <c r="GC14" s="204">
        <f>Metrika!GC15/Metrika!GC14</f>
        <v>1.020408163</v>
      </c>
      <c r="GD14" s="204">
        <f>Metrika!GD15/Metrika!GD14</f>
        <v>0.8979591837</v>
      </c>
      <c r="GE14" s="204">
        <f>Metrika!GE15/Metrika!GE14</f>
        <v>0.9387755102</v>
      </c>
      <c r="GF14" s="203">
        <f>Metrika!GF15/Metrika!GF14</f>
        <v>0.9693877551</v>
      </c>
      <c r="GG14" s="204">
        <f>Metrika!GG15/Metrika!GG14</f>
        <v>0.8163265306</v>
      </c>
      <c r="GH14" s="204">
        <f>Metrika!GH15/Metrika!GH14</f>
        <v>0.9795918367</v>
      </c>
      <c r="GI14" s="204">
        <f>Metrika!GI15/Metrika!GI14</f>
        <v>1.06122449</v>
      </c>
      <c r="GJ14" s="204">
        <f>Metrika!GJ15/Metrika!GJ14</f>
        <v>1.020408163</v>
      </c>
      <c r="GK14" s="202">
        <f>Metrika!GK15/Metrika!GK14</f>
        <v>0.7891156463</v>
      </c>
      <c r="GL14" s="203">
        <f>Metrika!GL15/Metrika!GL14</f>
        <v>0.8265306122</v>
      </c>
      <c r="GM14" s="204">
        <f>Metrika!GM15/Metrika!GM14</f>
        <v>0.7959183673</v>
      </c>
      <c r="GN14" s="204">
        <f>Metrika!GN15/Metrika!GN14</f>
        <v>0.8571428571</v>
      </c>
      <c r="GO14" s="204">
        <f>Metrika!GO15/Metrika!GO14</f>
        <v>0.8163265306</v>
      </c>
      <c r="GP14" s="204">
        <f>Metrika!GP15/Metrika!GP14</f>
        <v>0.8367346939</v>
      </c>
      <c r="GQ14" s="203">
        <f>Metrika!GQ15/Metrika!GQ14</f>
        <v>0.7908163265</v>
      </c>
      <c r="GR14" s="204">
        <f>Metrika!GR15/Metrika!GR14</f>
        <v>0.8163265306</v>
      </c>
      <c r="GS14" s="204">
        <f>Metrika!GS15/Metrika!GS14</f>
        <v>0.8367346939</v>
      </c>
      <c r="GT14" s="204">
        <f>Metrika!GT15/Metrika!GT14</f>
        <v>0.7959183673</v>
      </c>
      <c r="GU14" s="204">
        <f>Metrika!GU15/Metrika!GU14</f>
        <v>0.7142857143</v>
      </c>
      <c r="GV14" s="203">
        <f>Metrika!GV15/Metrika!GV14</f>
        <v>0.75</v>
      </c>
      <c r="GW14" s="204">
        <f>Metrika!GW15/Metrika!GW14</f>
        <v>0.693877551</v>
      </c>
      <c r="GX14" s="204">
        <f>Metrika!GX15/Metrika!GX14</f>
        <v>0.6530612245</v>
      </c>
      <c r="GY14" s="204">
        <f>Metrika!GY15/Metrika!GY14</f>
        <v>0.7959183673</v>
      </c>
      <c r="GZ14" s="204">
        <f>Metrika!GZ15/Metrika!GZ14</f>
        <v>0.8571428571</v>
      </c>
      <c r="HA14" s="198"/>
    </row>
    <row r="15" ht="15.75" customHeight="1">
      <c r="A15" s="195"/>
      <c r="B15" s="82"/>
      <c r="C15" s="78"/>
      <c r="D15" s="78"/>
      <c r="E15" s="80" t="s">
        <v>26</v>
      </c>
      <c r="F15" s="198"/>
      <c r="G15" s="78"/>
      <c r="H15" s="78"/>
      <c r="I15" s="78"/>
      <c r="J15" s="78"/>
      <c r="K15" s="78"/>
      <c r="L15" s="78"/>
      <c r="M15" s="78"/>
      <c r="N15" s="78"/>
      <c r="O15" s="78"/>
      <c r="P15" s="78"/>
      <c r="Q15" s="78"/>
      <c r="R15" s="78"/>
      <c r="S15" s="78"/>
      <c r="T15" s="78"/>
      <c r="U15" s="78"/>
      <c r="V15" s="78"/>
      <c r="W15" s="78"/>
      <c r="X15" s="78"/>
      <c r="Y15" s="78"/>
      <c r="Z15" s="78"/>
      <c r="AA15" s="78"/>
      <c r="AB15" s="78"/>
      <c r="AC15" s="78"/>
      <c r="AD15" s="78"/>
      <c r="AE15" s="78"/>
      <c r="AF15" s="78"/>
      <c r="AG15" s="78"/>
      <c r="AH15" s="78"/>
      <c r="AI15" s="78"/>
      <c r="AJ15" s="78"/>
      <c r="AK15" s="78"/>
      <c r="AL15" s="78"/>
      <c r="AM15" s="78"/>
      <c r="AN15" s="78"/>
      <c r="AO15" s="78"/>
      <c r="AP15" s="78"/>
      <c r="AQ15" s="78"/>
      <c r="AR15" s="78"/>
      <c r="AS15" s="78"/>
      <c r="AT15" s="78"/>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78"/>
      <c r="EJ15" s="78"/>
      <c r="EK15" s="78"/>
      <c r="EL15" s="78"/>
      <c r="EM15" s="78"/>
      <c r="EN15" s="78"/>
      <c r="EO15" s="78"/>
      <c r="EP15" s="78"/>
      <c r="EQ15" s="78"/>
      <c r="ER15" s="78"/>
      <c r="ES15" s="78"/>
      <c r="ET15" s="78"/>
      <c r="EU15" s="78"/>
      <c r="EV15" s="78"/>
      <c r="EW15" s="78"/>
      <c r="EX15" s="78"/>
      <c r="EY15" s="78"/>
      <c r="EZ15" s="78"/>
      <c r="FA15" s="78"/>
      <c r="FB15" s="78"/>
      <c r="FC15" s="78"/>
      <c r="FD15" s="78"/>
      <c r="FE15" s="78"/>
      <c r="FF15" s="78"/>
      <c r="FG15" s="78"/>
      <c r="FH15" s="78"/>
      <c r="FI15" s="78"/>
      <c r="FJ15" s="78"/>
      <c r="FK15" s="78"/>
      <c r="FL15" s="78"/>
      <c r="FM15" s="78"/>
      <c r="FN15" s="78"/>
      <c r="FO15" s="78"/>
      <c r="FP15" s="78"/>
      <c r="FQ15" s="78"/>
      <c r="FR15" s="78"/>
      <c r="FS15" s="78"/>
      <c r="FT15" s="78"/>
      <c r="FU15" s="78"/>
      <c r="FV15" s="78"/>
      <c r="FW15" s="78"/>
      <c r="FX15" s="78"/>
      <c r="FY15" s="78"/>
      <c r="FZ15" s="78"/>
      <c r="GA15" s="78"/>
      <c r="GB15" s="78"/>
      <c r="GC15" s="78"/>
      <c r="GD15" s="78"/>
      <c r="GE15" s="78"/>
      <c r="GF15" s="78"/>
      <c r="GG15" s="78"/>
      <c r="GH15" s="78"/>
      <c r="GI15" s="78"/>
      <c r="GJ15" s="78"/>
      <c r="GK15" s="78"/>
      <c r="GL15" s="78"/>
      <c r="GM15" s="78"/>
      <c r="GN15" s="78"/>
      <c r="GO15" s="78"/>
      <c r="GP15" s="78"/>
      <c r="GQ15" s="78"/>
      <c r="GR15" s="78"/>
      <c r="GS15" s="78"/>
      <c r="GT15" s="78"/>
      <c r="GU15" s="78"/>
      <c r="GV15" s="78"/>
      <c r="GW15" s="78"/>
      <c r="GX15" s="78"/>
      <c r="GY15" s="78"/>
      <c r="GZ15" s="78"/>
      <c r="HA15" s="198"/>
    </row>
    <row r="16" ht="15.75" customHeight="1">
      <c r="A16" s="195"/>
      <c r="B16" s="82"/>
      <c r="C16" s="87">
        <v>2.0</v>
      </c>
      <c r="D16" s="102" t="s">
        <v>52</v>
      </c>
      <c r="E16" s="80" t="s">
        <v>19</v>
      </c>
      <c r="F16" s="198"/>
      <c r="G16" s="199">
        <f>Metrika!G17/Metrika!G16</f>
        <v>0.8797619048</v>
      </c>
      <c r="H16" s="200">
        <f>Metrika!H17/Metrika!H16</f>
        <v>0.8797619048</v>
      </c>
      <c r="I16" s="201">
        <f>Metrika!I17/Metrika!I16</f>
        <v>0.8797619048</v>
      </c>
      <c r="J16" s="202">
        <f>Metrika!J17/Metrika!J16</f>
        <v>0.9666666667</v>
      </c>
      <c r="K16" s="203">
        <f>Metrika!K17/Metrika!K16</f>
        <v>0.95</v>
      </c>
      <c r="L16" s="204">
        <f>Metrika!L17/Metrika!L16</f>
        <v>0.8571428571</v>
      </c>
      <c r="M16" s="204">
        <f>Metrika!M17/Metrika!M16</f>
        <v>1</v>
      </c>
      <c r="N16" s="204">
        <f>Metrika!N17/Metrika!N16</f>
        <v>0.9142857143</v>
      </c>
      <c r="O16" s="204">
        <f>Metrika!O17/Metrika!O16</f>
        <v>1.028571429</v>
      </c>
      <c r="P16" s="203">
        <f>Metrika!P17/Metrika!P16</f>
        <v>1.085714286</v>
      </c>
      <c r="Q16" s="204">
        <f>Metrika!Q17/Metrika!Q16</f>
        <v>1</v>
      </c>
      <c r="R16" s="204">
        <f>Metrika!R17/Metrika!R16</f>
        <v>1.142857143</v>
      </c>
      <c r="S16" s="204">
        <f>Metrika!S17/Metrika!S16</f>
        <v>1.2</v>
      </c>
      <c r="T16" s="204">
        <f>Metrika!T17/Metrika!T16</f>
        <v>1</v>
      </c>
      <c r="U16" s="203">
        <f>Metrika!U17/Metrika!U16</f>
        <v>0.8642857143</v>
      </c>
      <c r="V16" s="204">
        <f>Metrika!V17/Metrika!V16</f>
        <v>0.9714285714</v>
      </c>
      <c r="W16" s="204">
        <f>Metrika!W17/Metrika!W16</f>
        <v>0.8571428571</v>
      </c>
      <c r="X16" s="204">
        <f>Metrika!X17/Metrika!X16</f>
        <v>0.7142857143</v>
      </c>
      <c r="Y16" s="204">
        <f>Metrika!Y17/Metrika!Y16</f>
        <v>0.9142857143</v>
      </c>
      <c r="Z16" s="202">
        <f>Metrika!Z17/Metrika!Z16</f>
        <v>0.7928571429</v>
      </c>
      <c r="AA16" s="203">
        <f>Metrika!AA17/Metrika!AA16</f>
        <v>0.7857142857</v>
      </c>
      <c r="AB16" s="204">
        <f>Metrika!AB17/Metrika!AB16</f>
        <v>0.8285714286</v>
      </c>
      <c r="AC16" s="204">
        <f>Metrika!AC17/Metrika!AC16</f>
        <v>0.8</v>
      </c>
      <c r="AD16" s="204">
        <f>Metrika!AD17/Metrika!AD16</f>
        <v>0.7714285714</v>
      </c>
      <c r="AE16" s="204">
        <f>Metrika!AE17/Metrika!AE16</f>
        <v>0.7428571429</v>
      </c>
      <c r="AF16" s="203">
        <f>Metrika!AF17/Metrika!AF16</f>
        <v>0.7285714286</v>
      </c>
      <c r="AG16" s="204">
        <f>Metrika!AG17/Metrika!AG16</f>
        <v>0.7142857143</v>
      </c>
      <c r="AH16" s="204">
        <f>Metrika!AH17/Metrika!AH16</f>
        <v>0.6857142857</v>
      </c>
      <c r="AI16" s="204">
        <f>Metrika!AI17/Metrika!AI16</f>
        <v>0.7428571429</v>
      </c>
      <c r="AJ16" s="204">
        <f>Metrika!AJ17/Metrika!AJ16</f>
        <v>0.7714285714</v>
      </c>
      <c r="AK16" s="203">
        <f>Metrika!AK17/Metrika!AK16</f>
        <v>0.8642857143</v>
      </c>
      <c r="AL16" s="204">
        <f>Metrika!AL17/Metrika!AL16</f>
        <v>0.8</v>
      </c>
      <c r="AM16" s="204">
        <f>Metrika!AM17/Metrika!AM16</f>
        <v>0.8571428571</v>
      </c>
      <c r="AN16" s="204">
        <f>Metrika!AN17/Metrika!AN16</f>
        <v>0.8857142857</v>
      </c>
      <c r="AO16" s="204">
        <f>Metrika!AO17/Metrika!AO16</f>
        <v>0.9142857143</v>
      </c>
      <c r="AP16" s="201">
        <f>Metrika!AP17/Metrika!AP16</f>
        <v>0.8797619048</v>
      </c>
      <c r="AQ16" s="202">
        <f>Metrika!AQ17/Metrika!AQ16</f>
        <v>0.7928571429</v>
      </c>
      <c r="AR16" s="203">
        <f>Metrika!AR17/Metrika!AR16</f>
        <v>0.8642857143</v>
      </c>
      <c r="AS16" s="204">
        <f>Metrika!AS17/Metrika!AS16</f>
        <v>0.8</v>
      </c>
      <c r="AT16" s="204">
        <f>Metrika!AT17/Metrika!AT16</f>
        <v>0.8571428571</v>
      </c>
      <c r="AU16" s="204">
        <f>Metrika!AU17/Metrika!AU16</f>
        <v>0.8857142857</v>
      </c>
      <c r="AV16" s="204">
        <f>Metrika!AV17/Metrika!AV16</f>
        <v>0.9142857143</v>
      </c>
      <c r="AW16" s="203">
        <f>Metrika!AW17/Metrika!AW16</f>
        <v>0.7857142857</v>
      </c>
      <c r="AX16" s="204">
        <f>Metrika!AX17/Metrika!AX16</f>
        <v>0.8285714286</v>
      </c>
      <c r="AY16" s="204">
        <f>Metrika!AY17/Metrika!AY16</f>
        <v>0.8</v>
      </c>
      <c r="AZ16" s="204">
        <f>Metrika!AZ17/Metrika!AZ16</f>
        <v>0.7714285714</v>
      </c>
      <c r="BA16" s="204">
        <f>Metrika!BA17/Metrika!BA16</f>
        <v>0.7428571429</v>
      </c>
      <c r="BB16" s="203">
        <f>Metrika!BB17/Metrika!BB16</f>
        <v>0.7285714286</v>
      </c>
      <c r="BC16" s="204">
        <f>Metrika!BC17/Metrika!BC16</f>
        <v>0.7142857143</v>
      </c>
      <c r="BD16" s="204">
        <f>Metrika!BD17/Metrika!BD16</f>
        <v>0.6857142857</v>
      </c>
      <c r="BE16" s="204">
        <f>Metrika!BE17/Metrika!BE16</f>
        <v>0.7428571429</v>
      </c>
      <c r="BF16" s="204">
        <f>Metrika!BF17/Metrika!BF16</f>
        <v>0.7714285714</v>
      </c>
      <c r="BG16" s="202">
        <f>Metrika!BG17/Metrika!BG16</f>
        <v>0.9666666667</v>
      </c>
      <c r="BH16" s="203">
        <f>Metrika!BH17/Metrika!BH16</f>
        <v>1.085714286</v>
      </c>
      <c r="BI16" s="204">
        <f>Metrika!BI17/Metrika!BI16</f>
        <v>1</v>
      </c>
      <c r="BJ16" s="204">
        <f>Metrika!BJ17/Metrika!BJ16</f>
        <v>1.142857143</v>
      </c>
      <c r="BK16" s="204">
        <f>Metrika!BK17/Metrika!BK16</f>
        <v>1.2</v>
      </c>
      <c r="BL16" s="204">
        <f>Metrika!BL17/Metrika!BL16</f>
        <v>1</v>
      </c>
      <c r="BM16" s="203">
        <f>Metrika!BM17/Metrika!BM16</f>
        <v>0.8642857143</v>
      </c>
      <c r="BN16" s="204">
        <f>Metrika!BN17/Metrika!BN16</f>
        <v>0.9714285714</v>
      </c>
      <c r="BO16" s="204">
        <f>Metrika!BO17/Metrika!BO16</f>
        <v>0.8571428571</v>
      </c>
      <c r="BP16" s="204">
        <f>Metrika!BP17/Metrika!BP16</f>
        <v>0.7142857143</v>
      </c>
      <c r="BQ16" s="204">
        <f>Metrika!BQ17/Metrika!BQ16</f>
        <v>0.9142857143</v>
      </c>
      <c r="BR16" s="203">
        <f>Metrika!BR17/Metrika!BR16</f>
        <v>0.95</v>
      </c>
      <c r="BS16" s="204">
        <f>Metrika!BS17/Metrika!BS16</f>
        <v>0.8571428571</v>
      </c>
      <c r="BT16" s="204">
        <f>Metrika!BT17/Metrika!BT16</f>
        <v>1</v>
      </c>
      <c r="BU16" s="204">
        <f>Metrika!BU17/Metrika!BU16</f>
        <v>0.9142857143</v>
      </c>
      <c r="BV16" s="204">
        <f>Metrika!BV17/Metrika!BV16</f>
        <v>1.028571429</v>
      </c>
      <c r="BW16" s="200">
        <f>Metrika!BW17/Metrika!BW16</f>
        <v>0.8797619048</v>
      </c>
      <c r="BX16" s="201">
        <f>Metrika!BX17/Metrika!BX16</f>
        <v>0.8797619048</v>
      </c>
      <c r="BY16" s="202">
        <f>Metrika!BY17/Metrika!BY16</f>
        <v>0.7928571429</v>
      </c>
      <c r="BZ16" s="203">
        <f>Metrika!BZ17/Metrika!BZ16</f>
        <v>0.7285714286</v>
      </c>
      <c r="CA16" s="204">
        <f>Metrika!CA17/Metrika!CA16</f>
        <v>0.7142857143</v>
      </c>
      <c r="CB16" s="204">
        <f>Metrika!CB17/Metrika!CB16</f>
        <v>0.6857142857</v>
      </c>
      <c r="CC16" s="204">
        <f>Metrika!CC17/Metrika!CC16</f>
        <v>0.7428571429</v>
      </c>
      <c r="CD16" s="204">
        <f>Metrika!CD17/Metrika!CD16</f>
        <v>0.7714285714</v>
      </c>
      <c r="CE16" s="203">
        <f>Metrika!CE17/Metrika!CE16</f>
        <v>0.8642857143</v>
      </c>
      <c r="CF16" s="204">
        <f>Metrika!CF17/Metrika!CF16</f>
        <v>0.8</v>
      </c>
      <c r="CG16" s="204">
        <f>Metrika!CG17/Metrika!CG16</f>
        <v>0.8571428571</v>
      </c>
      <c r="CH16" s="204">
        <f>Metrika!CH17/Metrika!CH16</f>
        <v>0.8857142857</v>
      </c>
      <c r="CI16" s="204">
        <f>Metrika!CI17/Metrika!CI16</f>
        <v>0.9142857143</v>
      </c>
      <c r="CJ16" s="203">
        <f>Metrika!CJ17/Metrika!CJ16</f>
        <v>0.7857142857</v>
      </c>
      <c r="CK16" s="204">
        <f>Metrika!CK17/Metrika!CK16</f>
        <v>0.8285714286</v>
      </c>
      <c r="CL16" s="204">
        <f>Metrika!CL17/Metrika!CL16</f>
        <v>0.8</v>
      </c>
      <c r="CM16" s="204">
        <f>Metrika!CM17/Metrika!CM16</f>
        <v>0.7714285714</v>
      </c>
      <c r="CN16" s="204">
        <f>Metrika!CN17/Metrika!CN16</f>
        <v>0.7428571429</v>
      </c>
      <c r="CO16" s="202">
        <f>Metrika!CO17/Metrika!CO16</f>
        <v>0.9666666667</v>
      </c>
      <c r="CP16" s="203">
        <f>Metrika!CP17/Metrika!CP16</f>
        <v>0.95</v>
      </c>
      <c r="CQ16" s="204">
        <f>Metrika!CQ17/Metrika!CQ16</f>
        <v>0.8571428571</v>
      </c>
      <c r="CR16" s="204">
        <f>Metrika!CR17/Metrika!CR16</f>
        <v>1</v>
      </c>
      <c r="CS16" s="204">
        <f>Metrika!CS17/Metrika!CS16</f>
        <v>0.9142857143</v>
      </c>
      <c r="CT16" s="204">
        <f>Metrika!CT17/Metrika!CT16</f>
        <v>1.028571429</v>
      </c>
      <c r="CU16" s="203">
        <f>Metrika!CU17/Metrika!CU16</f>
        <v>1.085714286</v>
      </c>
      <c r="CV16" s="204">
        <f>Metrika!CV17/Metrika!CV16</f>
        <v>1</v>
      </c>
      <c r="CW16" s="204">
        <f>Metrika!CW17/Metrika!CW16</f>
        <v>1.142857143</v>
      </c>
      <c r="CX16" s="204">
        <f>Metrika!CX17/Metrika!CX16</f>
        <v>1.2</v>
      </c>
      <c r="CY16" s="204">
        <f>Metrika!CY17/Metrika!CY16</f>
        <v>1</v>
      </c>
      <c r="CZ16" s="203">
        <f>Metrika!CZ17/Metrika!CZ16</f>
        <v>0.8642857143</v>
      </c>
      <c r="DA16" s="204">
        <f>Metrika!DA17/Metrika!DA16</f>
        <v>0.9714285714</v>
      </c>
      <c r="DB16" s="204">
        <f>Metrika!DB17/Metrika!DB16</f>
        <v>0.8571428571</v>
      </c>
      <c r="DC16" s="204">
        <f>Metrika!DC17/Metrika!DC16</f>
        <v>0.7142857143</v>
      </c>
      <c r="DD16" s="204">
        <f>Metrika!DD17/Metrika!DD16</f>
        <v>0.9142857143</v>
      </c>
      <c r="DE16" s="201">
        <f>Metrika!DE17/Metrika!DE16</f>
        <v>0.8797619048</v>
      </c>
      <c r="DF16" s="202">
        <f>Metrika!DF17/Metrika!DF16</f>
        <v>0.9666666667</v>
      </c>
      <c r="DG16" s="203">
        <f>Metrika!DG17/Metrika!DG16</f>
        <v>0.8642857143</v>
      </c>
      <c r="DH16" s="204">
        <f>Metrika!DH17/Metrika!DH16</f>
        <v>0.9714285714</v>
      </c>
      <c r="DI16" s="204">
        <f>Metrika!DI17/Metrika!DI16</f>
        <v>0.8571428571</v>
      </c>
      <c r="DJ16" s="204">
        <f>Metrika!DJ17/Metrika!DJ16</f>
        <v>0.7142857143</v>
      </c>
      <c r="DK16" s="204">
        <f>Metrika!DK17/Metrika!DK16</f>
        <v>0.9142857143</v>
      </c>
      <c r="DL16" s="203">
        <f>Metrika!DL17/Metrika!DL16</f>
        <v>0.95</v>
      </c>
      <c r="DM16" s="204">
        <f>Metrika!DM17/Metrika!DM16</f>
        <v>0.8571428571</v>
      </c>
      <c r="DN16" s="204">
        <f>Metrika!DN17/Metrika!DN16</f>
        <v>1</v>
      </c>
      <c r="DO16" s="204">
        <f>Metrika!DO17/Metrika!DO16</f>
        <v>0.9142857143</v>
      </c>
      <c r="DP16" s="204">
        <f>Metrika!DP17/Metrika!DP16</f>
        <v>1.028571429</v>
      </c>
      <c r="DQ16" s="203">
        <f>Metrika!DQ17/Metrika!DQ16</f>
        <v>1.085714286</v>
      </c>
      <c r="DR16" s="204">
        <f>Metrika!DR17/Metrika!DR16</f>
        <v>1</v>
      </c>
      <c r="DS16" s="204">
        <f>Metrika!DS17/Metrika!DS16</f>
        <v>1.142857143</v>
      </c>
      <c r="DT16" s="204">
        <f>Metrika!DT17/Metrika!DT16</f>
        <v>1.2</v>
      </c>
      <c r="DU16" s="204">
        <f>Metrika!DU17/Metrika!DU16</f>
        <v>1</v>
      </c>
      <c r="DV16" s="202">
        <f>Metrika!DV17/Metrika!DV16</f>
        <v>0.7928571429</v>
      </c>
      <c r="DW16" s="203">
        <f>Metrika!DW17/Metrika!DW16</f>
        <v>0.8642857143</v>
      </c>
      <c r="DX16" s="204">
        <f>Metrika!DX17/Metrika!DX16</f>
        <v>0.8</v>
      </c>
      <c r="DY16" s="204">
        <f>Metrika!DY17/Metrika!DY16</f>
        <v>0.8571428571</v>
      </c>
      <c r="DZ16" s="204">
        <f>Metrika!DZ17/Metrika!DZ16</f>
        <v>0.8857142857</v>
      </c>
      <c r="EA16" s="204">
        <f>Metrika!EA17/Metrika!EA16</f>
        <v>0.9142857143</v>
      </c>
      <c r="EB16" s="203">
        <f>Metrika!EB17/Metrika!EB16</f>
        <v>0.7285714286</v>
      </c>
      <c r="EC16" s="204">
        <f>Metrika!EC17/Metrika!EC16</f>
        <v>0.7142857143</v>
      </c>
      <c r="ED16" s="204">
        <f>Metrika!ED17/Metrika!ED16</f>
        <v>0.6857142857</v>
      </c>
      <c r="EE16" s="204">
        <f>Metrika!EE17/Metrika!EE16</f>
        <v>0.7428571429</v>
      </c>
      <c r="EF16" s="204">
        <f>Metrika!EF17/Metrika!EF16</f>
        <v>0.7714285714</v>
      </c>
      <c r="EG16" s="203">
        <f>Metrika!EG17/Metrika!EG16</f>
        <v>0.7857142857</v>
      </c>
      <c r="EH16" s="204">
        <f>Metrika!EH17/Metrika!EH16</f>
        <v>0.8285714286</v>
      </c>
      <c r="EI16" s="204">
        <f>Metrika!EI17/Metrika!EI16</f>
        <v>0.8</v>
      </c>
      <c r="EJ16" s="204">
        <f>Metrika!EJ17/Metrika!EJ16</f>
        <v>0.7714285714</v>
      </c>
      <c r="EK16" s="204">
        <f>Metrika!EK17/Metrika!EK16</f>
        <v>0.7428571429</v>
      </c>
      <c r="EL16" s="200">
        <f>Metrika!EL17/Metrika!EL16</f>
        <v>0.8797619048</v>
      </c>
      <c r="EM16" s="201">
        <f>Metrika!EM17/Metrika!EM16</f>
        <v>0.8797619048</v>
      </c>
      <c r="EN16" s="202">
        <f>Metrika!EN17/Metrika!EN16</f>
        <v>0.7928571429</v>
      </c>
      <c r="EO16" s="203">
        <f>Metrika!EO17/Metrika!EO16</f>
        <v>0.7285714286</v>
      </c>
      <c r="EP16" s="204">
        <f>Metrika!EP17/Metrika!EP16</f>
        <v>0.7142857143</v>
      </c>
      <c r="EQ16" s="204">
        <f>Metrika!EQ17/Metrika!EQ16</f>
        <v>0.6857142857</v>
      </c>
      <c r="ER16" s="204">
        <f>Metrika!ER17/Metrika!ER16</f>
        <v>0.7428571429</v>
      </c>
      <c r="ES16" s="204">
        <f>Metrika!ES17/Metrika!ES16</f>
        <v>0.7714285714</v>
      </c>
      <c r="ET16" s="203">
        <f>Metrika!ET17/Metrika!ET16</f>
        <v>0.7857142857</v>
      </c>
      <c r="EU16" s="204">
        <f>Metrika!EU17/Metrika!EU16</f>
        <v>0.8285714286</v>
      </c>
      <c r="EV16" s="204">
        <f>Metrika!EV17/Metrika!EV16</f>
        <v>0.8</v>
      </c>
      <c r="EW16" s="204">
        <f>Metrika!EW17/Metrika!EW16</f>
        <v>0.7714285714</v>
      </c>
      <c r="EX16" s="204">
        <f>Metrika!EX17/Metrika!EX16</f>
        <v>0.7428571429</v>
      </c>
      <c r="EY16" s="203">
        <f>Metrika!EY17/Metrika!EY16</f>
        <v>0.8642857143</v>
      </c>
      <c r="EZ16" s="204">
        <f>Metrika!EZ17/Metrika!EZ16</f>
        <v>0.8</v>
      </c>
      <c r="FA16" s="204">
        <f>Metrika!FA17/Metrika!FA16</f>
        <v>0.8571428571</v>
      </c>
      <c r="FB16" s="204">
        <f>Metrika!FB17/Metrika!FB16</f>
        <v>0.8857142857</v>
      </c>
      <c r="FC16" s="204">
        <f>Metrika!FC17/Metrika!FC16</f>
        <v>0.9142857143</v>
      </c>
      <c r="FD16" s="202">
        <f>Metrika!FD17/Metrika!FD16</f>
        <v>0.9666666667</v>
      </c>
      <c r="FE16" s="203">
        <f>Metrika!FE17/Metrika!FE16</f>
        <v>0.95</v>
      </c>
      <c r="FF16" s="204">
        <f>Metrika!FF17/Metrika!FF16</f>
        <v>0.8571428571</v>
      </c>
      <c r="FG16" s="204">
        <f>Metrika!FG17/Metrika!FG16</f>
        <v>1</v>
      </c>
      <c r="FH16" s="204">
        <f>Metrika!FH17/Metrika!FH16</f>
        <v>0.9142857143</v>
      </c>
      <c r="FI16" s="204">
        <f>Metrika!FI17/Metrika!FI16</f>
        <v>1.028571429</v>
      </c>
      <c r="FJ16" s="203">
        <f>Metrika!FJ17/Metrika!FJ16</f>
        <v>1.085714286</v>
      </c>
      <c r="FK16" s="204">
        <f>Metrika!FK17/Metrika!FK16</f>
        <v>1</v>
      </c>
      <c r="FL16" s="204">
        <f>Metrika!FL17/Metrika!FL16</f>
        <v>1.142857143</v>
      </c>
      <c r="FM16" s="204">
        <f>Metrika!FM17/Metrika!FM16</f>
        <v>1.2</v>
      </c>
      <c r="FN16" s="204">
        <f>Metrika!FN17/Metrika!FN16</f>
        <v>1</v>
      </c>
      <c r="FO16" s="203">
        <f>Metrika!FO17/Metrika!FO16</f>
        <v>0.8642857143</v>
      </c>
      <c r="FP16" s="204">
        <f>Metrika!FP17/Metrika!FP16</f>
        <v>0.9714285714</v>
      </c>
      <c r="FQ16" s="204">
        <f>Metrika!FQ17/Metrika!FQ16</f>
        <v>0.8571428571</v>
      </c>
      <c r="FR16" s="204">
        <f>Metrika!FR17/Metrika!FR16</f>
        <v>0.7142857143</v>
      </c>
      <c r="FS16" s="204">
        <f>Metrika!FS17/Metrika!FS16</f>
        <v>0.9142857143</v>
      </c>
      <c r="FT16" s="201">
        <f>Metrika!FT17/Metrika!FT16</f>
        <v>0.8797619048</v>
      </c>
      <c r="FU16" s="202">
        <f>Metrika!FU17/Metrika!FU16</f>
        <v>0.9666666667</v>
      </c>
      <c r="FV16" s="203">
        <f>Metrika!FV17/Metrika!FV16</f>
        <v>0.8642857143</v>
      </c>
      <c r="FW16" s="204">
        <f>Metrika!FW17/Metrika!FW16</f>
        <v>0.9714285714</v>
      </c>
      <c r="FX16" s="204">
        <f>Metrika!FX17/Metrika!FX16</f>
        <v>0.8571428571</v>
      </c>
      <c r="FY16" s="204">
        <f>Metrika!FY17/Metrika!FY16</f>
        <v>0.7142857143</v>
      </c>
      <c r="FZ16" s="204">
        <f>Metrika!FZ17/Metrika!FZ16</f>
        <v>0.9142857143</v>
      </c>
      <c r="GA16" s="203">
        <f>Metrika!GA17/Metrika!GA16</f>
        <v>0.95</v>
      </c>
      <c r="GB16" s="204">
        <f>Metrika!GB17/Metrika!GB16</f>
        <v>0.8571428571</v>
      </c>
      <c r="GC16" s="204">
        <f>Metrika!GC17/Metrika!GC16</f>
        <v>1</v>
      </c>
      <c r="GD16" s="204">
        <f>Metrika!GD17/Metrika!GD16</f>
        <v>0.9142857143</v>
      </c>
      <c r="GE16" s="204">
        <f>Metrika!GE17/Metrika!GE16</f>
        <v>1.028571429</v>
      </c>
      <c r="GF16" s="203">
        <f>Metrika!GF17/Metrika!GF16</f>
        <v>1.085714286</v>
      </c>
      <c r="GG16" s="204">
        <f>Metrika!GG17/Metrika!GG16</f>
        <v>1</v>
      </c>
      <c r="GH16" s="204">
        <f>Metrika!GH17/Metrika!GH16</f>
        <v>1.142857143</v>
      </c>
      <c r="GI16" s="204">
        <f>Metrika!GI17/Metrika!GI16</f>
        <v>1.2</v>
      </c>
      <c r="GJ16" s="204">
        <f>Metrika!GJ17/Metrika!GJ16</f>
        <v>1</v>
      </c>
      <c r="GK16" s="202">
        <f>Metrika!GK17/Metrika!GK16</f>
        <v>0.7928571429</v>
      </c>
      <c r="GL16" s="203">
        <f>Metrika!GL17/Metrika!GL16</f>
        <v>0.7857142857</v>
      </c>
      <c r="GM16" s="204">
        <f>Metrika!GM17/Metrika!GM16</f>
        <v>0.8285714286</v>
      </c>
      <c r="GN16" s="204">
        <f>Metrika!GN17/Metrika!GN16</f>
        <v>0.8</v>
      </c>
      <c r="GO16" s="204">
        <f>Metrika!GO17/Metrika!GO16</f>
        <v>0.7714285714</v>
      </c>
      <c r="GP16" s="204">
        <f>Metrika!GP17/Metrika!GP16</f>
        <v>0.7428571429</v>
      </c>
      <c r="GQ16" s="203">
        <f>Metrika!GQ17/Metrika!GQ16</f>
        <v>0.7285714286</v>
      </c>
      <c r="GR16" s="204">
        <f>Metrika!GR17/Metrika!GR16</f>
        <v>0.7142857143</v>
      </c>
      <c r="GS16" s="204">
        <f>Metrika!GS17/Metrika!GS16</f>
        <v>0.6857142857</v>
      </c>
      <c r="GT16" s="204">
        <f>Metrika!GT17/Metrika!GT16</f>
        <v>0.7428571429</v>
      </c>
      <c r="GU16" s="204">
        <f>Metrika!GU17/Metrika!GU16</f>
        <v>0.7714285714</v>
      </c>
      <c r="GV16" s="203">
        <f>Metrika!GV17/Metrika!GV16</f>
        <v>0.8642857143</v>
      </c>
      <c r="GW16" s="204">
        <f>Metrika!GW17/Metrika!GW16</f>
        <v>0.8</v>
      </c>
      <c r="GX16" s="204">
        <f>Metrika!GX17/Metrika!GX16</f>
        <v>0.8571428571</v>
      </c>
      <c r="GY16" s="204">
        <f>Metrika!GY17/Metrika!GY16</f>
        <v>0.8857142857</v>
      </c>
      <c r="GZ16" s="204">
        <f>Metrika!GZ17/Metrika!GZ16</f>
        <v>0.9142857143</v>
      </c>
      <c r="HA16" s="198"/>
    </row>
    <row r="17" ht="15.75" customHeight="1">
      <c r="A17" s="195"/>
      <c r="B17" s="82"/>
      <c r="C17" s="78"/>
      <c r="D17" s="78"/>
      <c r="E17" s="80" t="s">
        <v>26</v>
      </c>
      <c r="F17" s="198"/>
      <c r="G17" s="78"/>
      <c r="H17" s="78"/>
      <c r="I17" s="78"/>
      <c r="J17" s="78"/>
      <c r="K17" s="78"/>
      <c r="L17" s="78"/>
      <c r="M17" s="78"/>
      <c r="N17" s="78"/>
      <c r="O17" s="78"/>
      <c r="P17" s="78"/>
      <c r="Q17" s="78"/>
      <c r="R17" s="78"/>
      <c r="S17" s="78"/>
      <c r="T17" s="78"/>
      <c r="U17" s="78"/>
      <c r="V17" s="78"/>
      <c r="W17" s="78"/>
      <c r="X17" s="78"/>
      <c r="Y17" s="78"/>
      <c r="Z17" s="78"/>
      <c r="AA17" s="78"/>
      <c r="AB17" s="78"/>
      <c r="AC17" s="78"/>
      <c r="AD17" s="78"/>
      <c r="AE17" s="78"/>
      <c r="AF17" s="78"/>
      <c r="AG17" s="78"/>
      <c r="AH17" s="78"/>
      <c r="AI17" s="78"/>
      <c r="AJ17" s="78"/>
      <c r="AK17" s="78"/>
      <c r="AL17" s="78"/>
      <c r="AM17" s="78"/>
      <c r="AN17" s="78"/>
      <c r="AO17" s="78"/>
      <c r="AP17" s="78"/>
      <c r="AQ17" s="78"/>
      <c r="AR17" s="78"/>
      <c r="AS17" s="78"/>
      <c r="AT17" s="78"/>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78"/>
      <c r="EJ17" s="78"/>
      <c r="EK17" s="78"/>
      <c r="EL17" s="78"/>
      <c r="EM17" s="78"/>
      <c r="EN17" s="78"/>
      <c r="EO17" s="78"/>
      <c r="EP17" s="78"/>
      <c r="EQ17" s="78"/>
      <c r="ER17" s="78"/>
      <c r="ES17" s="78"/>
      <c r="ET17" s="78"/>
      <c r="EU17" s="78"/>
      <c r="EV17" s="78"/>
      <c r="EW17" s="78"/>
      <c r="EX17" s="78"/>
      <c r="EY17" s="78"/>
      <c r="EZ17" s="78"/>
      <c r="FA17" s="78"/>
      <c r="FB17" s="78"/>
      <c r="FC17" s="78"/>
      <c r="FD17" s="78"/>
      <c r="FE17" s="78"/>
      <c r="FF17" s="78"/>
      <c r="FG17" s="78"/>
      <c r="FH17" s="78"/>
      <c r="FI17" s="78"/>
      <c r="FJ17" s="78"/>
      <c r="FK17" s="78"/>
      <c r="FL17" s="78"/>
      <c r="FM17" s="78"/>
      <c r="FN17" s="78"/>
      <c r="FO17" s="78"/>
      <c r="FP17" s="78"/>
      <c r="FQ17" s="78"/>
      <c r="FR17" s="78"/>
      <c r="FS17" s="78"/>
      <c r="FT17" s="78"/>
      <c r="FU17" s="78"/>
      <c r="FV17" s="78"/>
      <c r="FW17" s="78"/>
      <c r="FX17" s="78"/>
      <c r="FY17" s="78"/>
      <c r="FZ17" s="78"/>
      <c r="GA17" s="78"/>
      <c r="GB17" s="78"/>
      <c r="GC17" s="78"/>
      <c r="GD17" s="78"/>
      <c r="GE17" s="78"/>
      <c r="GF17" s="78"/>
      <c r="GG17" s="78"/>
      <c r="GH17" s="78"/>
      <c r="GI17" s="78"/>
      <c r="GJ17" s="78"/>
      <c r="GK17" s="78"/>
      <c r="GL17" s="78"/>
      <c r="GM17" s="78"/>
      <c r="GN17" s="78"/>
      <c r="GO17" s="78"/>
      <c r="GP17" s="78"/>
      <c r="GQ17" s="78"/>
      <c r="GR17" s="78"/>
      <c r="GS17" s="78"/>
      <c r="GT17" s="78"/>
      <c r="GU17" s="78"/>
      <c r="GV17" s="78"/>
      <c r="GW17" s="78"/>
      <c r="GX17" s="78"/>
      <c r="GY17" s="78"/>
      <c r="GZ17" s="78"/>
      <c r="HA17" s="198"/>
    </row>
    <row r="18" ht="15.75" customHeight="1">
      <c r="A18" s="195"/>
      <c r="B18" s="82"/>
      <c r="C18" s="87">
        <v>3.0</v>
      </c>
      <c r="D18" s="102" t="s">
        <v>53</v>
      </c>
      <c r="E18" s="80" t="s">
        <v>19</v>
      </c>
      <c r="F18" s="198"/>
      <c r="G18" s="199">
        <f>Metrika!G19/Metrika!G18</f>
        <v>0.8005952381</v>
      </c>
      <c r="H18" s="200">
        <f>Metrika!H19/Metrika!H18</f>
        <v>0.8005952381</v>
      </c>
      <c r="I18" s="201">
        <f>Metrika!I19/Metrika!I18</f>
        <v>0.8005952381</v>
      </c>
      <c r="J18" s="202">
        <f>Metrika!J19/Metrika!J18</f>
        <v>0.9404761905</v>
      </c>
      <c r="K18" s="203">
        <f>Metrika!K19/Metrika!K18</f>
        <v>0.9107142857</v>
      </c>
      <c r="L18" s="204">
        <f>Metrika!L19/Metrika!L18</f>
        <v>0.8571428571</v>
      </c>
      <c r="M18" s="204">
        <f>Metrika!M19/Metrika!M18</f>
        <v>1</v>
      </c>
      <c r="N18" s="204">
        <f>Metrika!N19/Metrika!N18</f>
        <v>1.071428571</v>
      </c>
      <c r="O18" s="204">
        <f>Metrika!O19/Metrika!O18</f>
        <v>0.7142857143</v>
      </c>
      <c r="P18" s="203">
        <f>Metrika!P19/Metrika!P18</f>
        <v>1</v>
      </c>
      <c r="Q18" s="204">
        <f>Metrika!Q19/Metrika!Q18</f>
        <v>1.071428571</v>
      </c>
      <c r="R18" s="204">
        <f>Metrika!R19/Metrika!R18</f>
        <v>1.071428571</v>
      </c>
      <c r="S18" s="204">
        <f>Metrika!S19/Metrika!S18</f>
        <v>1</v>
      </c>
      <c r="T18" s="204">
        <f>Metrika!T19/Metrika!T18</f>
        <v>0.8571428571</v>
      </c>
      <c r="U18" s="203">
        <f>Metrika!U19/Metrika!U18</f>
        <v>0.9107142857</v>
      </c>
      <c r="V18" s="204">
        <f>Metrika!V19/Metrika!V18</f>
        <v>0.8571428571</v>
      </c>
      <c r="W18" s="204">
        <f>Metrika!W19/Metrika!W18</f>
        <v>0.9285714286</v>
      </c>
      <c r="X18" s="204">
        <f>Metrika!X19/Metrika!X18</f>
        <v>1</v>
      </c>
      <c r="Y18" s="204">
        <f>Metrika!Y19/Metrika!Y18</f>
        <v>0.8571428571</v>
      </c>
      <c r="Z18" s="202">
        <f>Metrika!Z19/Metrika!Z18</f>
        <v>0.6607142857</v>
      </c>
      <c r="AA18" s="203">
        <f>Metrika!AA19/Metrika!AA18</f>
        <v>0.75</v>
      </c>
      <c r="AB18" s="204">
        <f>Metrika!AB19/Metrika!AB18</f>
        <v>0.7142857143</v>
      </c>
      <c r="AC18" s="204">
        <f>Metrika!AC19/Metrika!AC18</f>
        <v>0.7857142857</v>
      </c>
      <c r="AD18" s="204">
        <f>Metrika!AD19/Metrika!AD18</f>
        <v>0.8571428571</v>
      </c>
      <c r="AE18" s="204">
        <f>Metrika!AE19/Metrika!AE18</f>
        <v>0.6428571429</v>
      </c>
      <c r="AF18" s="203">
        <f>Metrika!AF19/Metrika!AF18</f>
        <v>0.5357142857</v>
      </c>
      <c r="AG18" s="204">
        <f>Metrika!AG19/Metrika!AG18</f>
        <v>0.5714285714</v>
      </c>
      <c r="AH18" s="204">
        <f>Metrika!AH19/Metrika!AH18</f>
        <v>0.5</v>
      </c>
      <c r="AI18" s="204">
        <f>Metrika!AI19/Metrika!AI18</f>
        <v>0.4285714286</v>
      </c>
      <c r="AJ18" s="204">
        <f>Metrika!AJ19/Metrika!AJ18</f>
        <v>0.6428571429</v>
      </c>
      <c r="AK18" s="203">
        <f>Metrika!AK19/Metrika!AK18</f>
        <v>0.6964285714</v>
      </c>
      <c r="AL18" s="204">
        <f>Metrika!AL19/Metrika!AL18</f>
        <v>0.7142857143</v>
      </c>
      <c r="AM18" s="204">
        <f>Metrika!AM19/Metrika!AM18</f>
        <v>0.6428571429</v>
      </c>
      <c r="AN18" s="204">
        <f>Metrika!AN19/Metrika!AN18</f>
        <v>0.5714285714</v>
      </c>
      <c r="AO18" s="204">
        <f>Metrika!AO19/Metrika!AO18</f>
        <v>0.8571428571</v>
      </c>
      <c r="AP18" s="201">
        <f>Metrika!AP19/Metrika!AP18</f>
        <v>0.8005952381</v>
      </c>
      <c r="AQ18" s="202">
        <f>Metrika!AQ19/Metrika!AQ18</f>
        <v>0.6607142857</v>
      </c>
      <c r="AR18" s="203">
        <f>Metrika!AR19/Metrika!AR18</f>
        <v>0.6964285714</v>
      </c>
      <c r="AS18" s="204">
        <f>Metrika!AS19/Metrika!AS18</f>
        <v>0.7142857143</v>
      </c>
      <c r="AT18" s="204">
        <f>Metrika!AT19/Metrika!AT18</f>
        <v>0.6428571429</v>
      </c>
      <c r="AU18" s="204">
        <f>Metrika!AU19/Metrika!AU18</f>
        <v>0.5714285714</v>
      </c>
      <c r="AV18" s="204">
        <f>Metrika!AV19/Metrika!AV18</f>
        <v>0.8571428571</v>
      </c>
      <c r="AW18" s="203">
        <f>Metrika!AW19/Metrika!AW18</f>
        <v>0.75</v>
      </c>
      <c r="AX18" s="204">
        <f>Metrika!AX19/Metrika!AX18</f>
        <v>0.7142857143</v>
      </c>
      <c r="AY18" s="204">
        <f>Metrika!AY19/Metrika!AY18</f>
        <v>0.7857142857</v>
      </c>
      <c r="AZ18" s="204">
        <f>Metrika!AZ19/Metrika!AZ18</f>
        <v>0.8571428571</v>
      </c>
      <c r="BA18" s="204">
        <f>Metrika!BA19/Metrika!BA18</f>
        <v>0.6428571429</v>
      </c>
      <c r="BB18" s="203">
        <f>Metrika!BB19/Metrika!BB18</f>
        <v>0.5357142857</v>
      </c>
      <c r="BC18" s="204">
        <f>Metrika!BC19/Metrika!BC18</f>
        <v>0.5714285714</v>
      </c>
      <c r="BD18" s="204">
        <f>Metrika!BD19/Metrika!BD18</f>
        <v>0.5</v>
      </c>
      <c r="BE18" s="204">
        <f>Metrika!BE19/Metrika!BE18</f>
        <v>0.4285714286</v>
      </c>
      <c r="BF18" s="204">
        <f>Metrika!BF19/Metrika!BF18</f>
        <v>0.6428571429</v>
      </c>
      <c r="BG18" s="202">
        <f>Metrika!BG19/Metrika!BG18</f>
        <v>0.9404761905</v>
      </c>
      <c r="BH18" s="203">
        <f>Metrika!BH19/Metrika!BH18</f>
        <v>1</v>
      </c>
      <c r="BI18" s="204">
        <f>Metrika!BI19/Metrika!BI18</f>
        <v>1.071428571</v>
      </c>
      <c r="BJ18" s="204">
        <f>Metrika!BJ19/Metrika!BJ18</f>
        <v>1.071428571</v>
      </c>
      <c r="BK18" s="204">
        <f>Metrika!BK19/Metrika!BK18</f>
        <v>1</v>
      </c>
      <c r="BL18" s="204">
        <f>Metrika!BL19/Metrika!BL18</f>
        <v>0.8571428571</v>
      </c>
      <c r="BM18" s="203">
        <f>Metrika!BM19/Metrika!BM18</f>
        <v>0.9107142857</v>
      </c>
      <c r="BN18" s="204">
        <f>Metrika!BN19/Metrika!BN18</f>
        <v>0.8571428571</v>
      </c>
      <c r="BO18" s="204">
        <f>Metrika!BO19/Metrika!BO18</f>
        <v>0.9285714286</v>
      </c>
      <c r="BP18" s="204">
        <f>Metrika!BP19/Metrika!BP18</f>
        <v>1</v>
      </c>
      <c r="BQ18" s="204">
        <f>Metrika!BQ19/Metrika!BQ18</f>
        <v>0.8571428571</v>
      </c>
      <c r="BR18" s="203">
        <f>Metrika!BR19/Metrika!BR18</f>
        <v>0.9107142857</v>
      </c>
      <c r="BS18" s="204">
        <f>Metrika!BS19/Metrika!BS18</f>
        <v>0.8571428571</v>
      </c>
      <c r="BT18" s="204">
        <f>Metrika!BT19/Metrika!BT18</f>
        <v>1</v>
      </c>
      <c r="BU18" s="204">
        <f>Metrika!BU19/Metrika!BU18</f>
        <v>1.071428571</v>
      </c>
      <c r="BV18" s="204">
        <f>Metrika!BV19/Metrika!BV18</f>
        <v>0.7142857143</v>
      </c>
      <c r="BW18" s="200">
        <f>Metrika!BW19/Metrika!BW18</f>
        <v>0.8005952381</v>
      </c>
      <c r="BX18" s="201">
        <f>Metrika!BX19/Metrika!BX18</f>
        <v>0.8005952381</v>
      </c>
      <c r="BY18" s="202">
        <f>Metrika!BY19/Metrika!BY18</f>
        <v>0.6607142857</v>
      </c>
      <c r="BZ18" s="203">
        <f>Metrika!BZ19/Metrika!BZ18</f>
        <v>0.5357142857</v>
      </c>
      <c r="CA18" s="204">
        <f>Metrika!CA19/Metrika!CA18</f>
        <v>0.5714285714</v>
      </c>
      <c r="CB18" s="204">
        <f>Metrika!CB19/Metrika!CB18</f>
        <v>0.5</v>
      </c>
      <c r="CC18" s="204">
        <f>Metrika!CC19/Metrika!CC18</f>
        <v>0.4285714286</v>
      </c>
      <c r="CD18" s="204">
        <f>Metrika!CD19/Metrika!CD18</f>
        <v>0.6428571429</v>
      </c>
      <c r="CE18" s="203">
        <f>Metrika!CE19/Metrika!CE18</f>
        <v>0.6964285714</v>
      </c>
      <c r="CF18" s="204">
        <f>Metrika!CF19/Metrika!CF18</f>
        <v>0.7142857143</v>
      </c>
      <c r="CG18" s="204">
        <f>Metrika!CG19/Metrika!CG18</f>
        <v>0.6428571429</v>
      </c>
      <c r="CH18" s="204">
        <f>Metrika!CH19/Metrika!CH18</f>
        <v>0.5714285714</v>
      </c>
      <c r="CI18" s="204">
        <f>Metrika!CI19/Metrika!CI18</f>
        <v>0.8571428571</v>
      </c>
      <c r="CJ18" s="203">
        <f>Metrika!CJ19/Metrika!CJ18</f>
        <v>0.75</v>
      </c>
      <c r="CK18" s="204">
        <f>Metrika!CK19/Metrika!CK18</f>
        <v>0.7142857143</v>
      </c>
      <c r="CL18" s="204">
        <f>Metrika!CL19/Metrika!CL18</f>
        <v>0.7857142857</v>
      </c>
      <c r="CM18" s="204">
        <f>Metrika!CM19/Metrika!CM18</f>
        <v>0.8571428571</v>
      </c>
      <c r="CN18" s="204">
        <f>Metrika!CN19/Metrika!CN18</f>
        <v>0.6428571429</v>
      </c>
      <c r="CO18" s="202">
        <f>Metrika!CO19/Metrika!CO18</f>
        <v>0.9404761905</v>
      </c>
      <c r="CP18" s="203">
        <f>Metrika!CP19/Metrika!CP18</f>
        <v>0.9107142857</v>
      </c>
      <c r="CQ18" s="204">
        <f>Metrika!CQ19/Metrika!CQ18</f>
        <v>0.8571428571</v>
      </c>
      <c r="CR18" s="204">
        <f>Metrika!CR19/Metrika!CR18</f>
        <v>1</v>
      </c>
      <c r="CS18" s="204">
        <f>Metrika!CS19/Metrika!CS18</f>
        <v>1.071428571</v>
      </c>
      <c r="CT18" s="204">
        <f>Metrika!CT19/Metrika!CT18</f>
        <v>0.7142857143</v>
      </c>
      <c r="CU18" s="203">
        <f>Metrika!CU19/Metrika!CU18</f>
        <v>1</v>
      </c>
      <c r="CV18" s="204">
        <f>Metrika!CV19/Metrika!CV18</f>
        <v>1.071428571</v>
      </c>
      <c r="CW18" s="204">
        <f>Metrika!CW19/Metrika!CW18</f>
        <v>1.071428571</v>
      </c>
      <c r="CX18" s="204">
        <f>Metrika!CX19/Metrika!CX18</f>
        <v>1</v>
      </c>
      <c r="CY18" s="204">
        <f>Metrika!CY19/Metrika!CY18</f>
        <v>0.8571428571</v>
      </c>
      <c r="CZ18" s="203">
        <f>Metrika!CZ19/Metrika!CZ18</f>
        <v>0.9107142857</v>
      </c>
      <c r="DA18" s="204">
        <f>Metrika!DA19/Metrika!DA18</f>
        <v>0.8571428571</v>
      </c>
      <c r="DB18" s="204">
        <f>Metrika!DB19/Metrika!DB18</f>
        <v>0.9285714286</v>
      </c>
      <c r="DC18" s="204">
        <f>Metrika!DC19/Metrika!DC18</f>
        <v>1</v>
      </c>
      <c r="DD18" s="204">
        <f>Metrika!DD19/Metrika!DD18</f>
        <v>0.8571428571</v>
      </c>
      <c r="DE18" s="201">
        <f>Metrika!DE19/Metrika!DE18</f>
        <v>0.8005952381</v>
      </c>
      <c r="DF18" s="202">
        <f>Metrika!DF19/Metrika!DF18</f>
        <v>0.9404761905</v>
      </c>
      <c r="DG18" s="203">
        <f>Metrika!DG19/Metrika!DG18</f>
        <v>0.9107142857</v>
      </c>
      <c r="DH18" s="204">
        <f>Metrika!DH19/Metrika!DH18</f>
        <v>0.8571428571</v>
      </c>
      <c r="DI18" s="204">
        <f>Metrika!DI19/Metrika!DI18</f>
        <v>0.9285714286</v>
      </c>
      <c r="DJ18" s="204">
        <f>Metrika!DJ19/Metrika!DJ18</f>
        <v>1</v>
      </c>
      <c r="DK18" s="204">
        <f>Metrika!DK19/Metrika!DK18</f>
        <v>0.8571428571</v>
      </c>
      <c r="DL18" s="203">
        <f>Metrika!DL19/Metrika!DL18</f>
        <v>0.9107142857</v>
      </c>
      <c r="DM18" s="204">
        <f>Metrika!DM19/Metrika!DM18</f>
        <v>0.8571428571</v>
      </c>
      <c r="DN18" s="204">
        <f>Metrika!DN19/Metrika!DN18</f>
        <v>1</v>
      </c>
      <c r="DO18" s="204">
        <f>Metrika!DO19/Metrika!DO18</f>
        <v>1.071428571</v>
      </c>
      <c r="DP18" s="204">
        <f>Metrika!DP19/Metrika!DP18</f>
        <v>0.7142857143</v>
      </c>
      <c r="DQ18" s="203">
        <f>Metrika!DQ19/Metrika!DQ18</f>
        <v>1</v>
      </c>
      <c r="DR18" s="204">
        <f>Metrika!DR19/Metrika!DR18</f>
        <v>1.071428571</v>
      </c>
      <c r="DS18" s="204">
        <f>Metrika!DS19/Metrika!DS18</f>
        <v>1.071428571</v>
      </c>
      <c r="DT18" s="204">
        <f>Metrika!DT19/Metrika!DT18</f>
        <v>1</v>
      </c>
      <c r="DU18" s="204">
        <f>Metrika!DU19/Metrika!DU18</f>
        <v>0.8571428571</v>
      </c>
      <c r="DV18" s="202">
        <f>Metrika!DV19/Metrika!DV18</f>
        <v>0.6607142857</v>
      </c>
      <c r="DW18" s="203">
        <f>Metrika!DW19/Metrika!DW18</f>
        <v>0.6964285714</v>
      </c>
      <c r="DX18" s="204">
        <f>Metrika!DX19/Metrika!DX18</f>
        <v>0.7142857143</v>
      </c>
      <c r="DY18" s="204">
        <f>Metrika!DY19/Metrika!DY18</f>
        <v>0.6428571429</v>
      </c>
      <c r="DZ18" s="204">
        <f>Metrika!DZ19/Metrika!DZ18</f>
        <v>0.5714285714</v>
      </c>
      <c r="EA18" s="204">
        <f>Metrika!EA19/Metrika!EA18</f>
        <v>0.8571428571</v>
      </c>
      <c r="EB18" s="203">
        <f>Metrika!EB19/Metrika!EB18</f>
        <v>0.5357142857</v>
      </c>
      <c r="EC18" s="204">
        <f>Metrika!EC19/Metrika!EC18</f>
        <v>0.5714285714</v>
      </c>
      <c r="ED18" s="204">
        <f>Metrika!ED19/Metrika!ED18</f>
        <v>0.5</v>
      </c>
      <c r="EE18" s="204">
        <f>Metrika!EE19/Metrika!EE18</f>
        <v>0.4285714286</v>
      </c>
      <c r="EF18" s="204">
        <f>Metrika!EF19/Metrika!EF18</f>
        <v>0.6428571429</v>
      </c>
      <c r="EG18" s="203">
        <f>Metrika!EG19/Metrika!EG18</f>
        <v>0.75</v>
      </c>
      <c r="EH18" s="204">
        <f>Metrika!EH19/Metrika!EH18</f>
        <v>0.7142857143</v>
      </c>
      <c r="EI18" s="204">
        <f>Metrika!EI19/Metrika!EI18</f>
        <v>0.7857142857</v>
      </c>
      <c r="EJ18" s="204">
        <f>Metrika!EJ19/Metrika!EJ18</f>
        <v>0.8571428571</v>
      </c>
      <c r="EK18" s="204">
        <f>Metrika!EK19/Metrika!EK18</f>
        <v>0.6428571429</v>
      </c>
      <c r="EL18" s="200">
        <f>Metrika!EL19/Metrika!EL18</f>
        <v>0.8005952381</v>
      </c>
      <c r="EM18" s="201">
        <f>Metrika!EM19/Metrika!EM18</f>
        <v>0.8005952381</v>
      </c>
      <c r="EN18" s="202">
        <f>Metrika!EN19/Metrika!EN18</f>
        <v>0.6607142857</v>
      </c>
      <c r="EO18" s="203">
        <f>Metrika!EO19/Metrika!EO18</f>
        <v>0.5357142857</v>
      </c>
      <c r="EP18" s="204">
        <f>Metrika!EP19/Metrika!EP18</f>
        <v>0.5714285714</v>
      </c>
      <c r="EQ18" s="204">
        <f>Metrika!EQ19/Metrika!EQ18</f>
        <v>0.5</v>
      </c>
      <c r="ER18" s="204">
        <f>Metrika!ER19/Metrika!ER18</f>
        <v>0.4285714286</v>
      </c>
      <c r="ES18" s="204">
        <f>Metrika!ES19/Metrika!ES18</f>
        <v>0.6428571429</v>
      </c>
      <c r="ET18" s="203">
        <f>Metrika!ET19/Metrika!ET18</f>
        <v>0.75</v>
      </c>
      <c r="EU18" s="204">
        <f>Metrika!EU19/Metrika!EU18</f>
        <v>0.7142857143</v>
      </c>
      <c r="EV18" s="204">
        <f>Metrika!EV19/Metrika!EV18</f>
        <v>0.7857142857</v>
      </c>
      <c r="EW18" s="204">
        <f>Metrika!EW19/Metrika!EW18</f>
        <v>0.8571428571</v>
      </c>
      <c r="EX18" s="204">
        <f>Metrika!EX19/Metrika!EX18</f>
        <v>0.6428571429</v>
      </c>
      <c r="EY18" s="203">
        <f>Metrika!EY19/Metrika!EY18</f>
        <v>0.6964285714</v>
      </c>
      <c r="EZ18" s="204">
        <f>Metrika!EZ19/Metrika!EZ18</f>
        <v>0.7142857143</v>
      </c>
      <c r="FA18" s="204">
        <f>Metrika!FA19/Metrika!FA18</f>
        <v>0.6428571429</v>
      </c>
      <c r="FB18" s="204">
        <f>Metrika!FB19/Metrika!FB18</f>
        <v>0.5714285714</v>
      </c>
      <c r="FC18" s="204">
        <f>Metrika!FC19/Metrika!FC18</f>
        <v>0.8571428571</v>
      </c>
      <c r="FD18" s="202">
        <f>Metrika!FD19/Metrika!FD18</f>
        <v>0.9404761905</v>
      </c>
      <c r="FE18" s="203">
        <f>Metrika!FE19/Metrika!FE18</f>
        <v>0.9107142857</v>
      </c>
      <c r="FF18" s="204">
        <f>Metrika!FF19/Metrika!FF18</f>
        <v>0.8571428571</v>
      </c>
      <c r="FG18" s="204">
        <f>Metrika!FG19/Metrika!FG18</f>
        <v>1</v>
      </c>
      <c r="FH18" s="204">
        <f>Metrika!FH19/Metrika!FH18</f>
        <v>1.071428571</v>
      </c>
      <c r="FI18" s="204">
        <f>Metrika!FI19/Metrika!FI18</f>
        <v>0.7142857143</v>
      </c>
      <c r="FJ18" s="203">
        <f>Metrika!FJ19/Metrika!FJ18</f>
        <v>1</v>
      </c>
      <c r="FK18" s="204">
        <f>Metrika!FK19/Metrika!FK18</f>
        <v>1.071428571</v>
      </c>
      <c r="FL18" s="204">
        <f>Metrika!FL19/Metrika!FL18</f>
        <v>1.071428571</v>
      </c>
      <c r="FM18" s="204">
        <f>Metrika!FM19/Metrika!FM18</f>
        <v>1</v>
      </c>
      <c r="FN18" s="204">
        <f>Metrika!FN19/Metrika!FN18</f>
        <v>0.8571428571</v>
      </c>
      <c r="FO18" s="203">
        <f>Metrika!FO19/Metrika!FO18</f>
        <v>0.9107142857</v>
      </c>
      <c r="FP18" s="204">
        <f>Metrika!FP19/Metrika!FP18</f>
        <v>0.8571428571</v>
      </c>
      <c r="FQ18" s="204">
        <f>Metrika!FQ19/Metrika!FQ18</f>
        <v>0.9285714286</v>
      </c>
      <c r="FR18" s="204">
        <f>Metrika!FR19/Metrika!FR18</f>
        <v>1</v>
      </c>
      <c r="FS18" s="204">
        <f>Metrika!FS19/Metrika!FS18</f>
        <v>0.8571428571</v>
      </c>
      <c r="FT18" s="201">
        <f>Metrika!FT19/Metrika!FT18</f>
        <v>0.8005952381</v>
      </c>
      <c r="FU18" s="202">
        <f>Metrika!FU19/Metrika!FU18</f>
        <v>0.9404761905</v>
      </c>
      <c r="FV18" s="203">
        <f>Metrika!FV19/Metrika!FV18</f>
        <v>0.9107142857</v>
      </c>
      <c r="FW18" s="204">
        <f>Metrika!FW19/Metrika!FW18</f>
        <v>0.8571428571</v>
      </c>
      <c r="FX18" s="204">
        <f>Metrika!FX19/Metrika!FX18</f>
        <v>0.9285714286</v>
      </c>
      <c r="FY18" s="204">
        <f>Metrika!FY19/Metrika!FY18</f>
        <v>1</v>
      </c>
      <c r="FZ18" s="204">
        <f>Metrika!FZ19/Metrika!FZ18</f>
        <v>0.8571428571</v>
      </c>
      <c r="GA18" s="203">
        <f>Metrika!GA19/Metrika!GA18</f>
        <v>0.9107142857</v>
      </c>
      <c r="GB18" s="204">
        <f>Metrika!GB19/Metrika!GB18</f>
        <v>0.8571428571</v>
      </c>
      <c r="GC18" s="204">
        <f>Metrika!GC19/Metrika!GC18</f>
        <v>1</v>
      </c>
      <c r="GD18" s="204">
        <f>Metrika!GD19/Metrika!GD18</f>
        <v>1.071428571</v>
      </c>
      <c r="GE18" s="204">
        <f>Metrika!GE19/Metrika!GE18</f>
        <v>0.7142857143</v>
      </c>
      <c r="GF18" s="203">
        <f>Metrika!GF19/Metrika!GF18</f>
        <v>1</v>
      </c>
      <c r="GG18" s="204">
        <f>Metrika!GG19/Metrika!GG18</f>
        <v>1.071428571</v>
      </c>
      <c r="GH18" s="204">
        <f>Metrika!GH19/Metrika!GH18</f>
        <v>1.071428571</v>
      </c>
      <c r="GI18" s="204">
        <f>Metrika!GI19/Metrika!GI18</f>
        <v>1</v>
      </c>
      <c r="GJ18" s="204">
        <f>Metrika!GJ19/Metrika!GJ18</f>
        <v>0.8571428571</v>
      </c>
      <c r="GK18" s="202">
        <f>Metrika!GK19/Metrika!GK18</f>
        <v>0.6607142857</v>
      </c>
      <c r="GL18" s="203">
        <f>Metrika!GL19/Metrika!GL18</f>
        <v>0.75</v>
      </c>
      <c r="GM18" s="204">
        <f>Metrika!GM19/Metrika!GM18</f>
        <v>0.7142857143</v>
      </c>
      <c r="GN18" s="204">
        <f>Metrika!GN19/Metrika!GN18</f>
        <v>0.7857142857</v>
      </c>
      <c r="GO18" s="204">
        <f>Metrika!GO19/Metrika!GO18</f>
        <v>0.8571428571</v>
      </c>
      <c r="GP18" s="204">
        <f>Metrika!GP19/Metrika!GP18</f>
        <v>0.6428571429</v>
      </c>
      <c r="GQ18" s="203">
        <f>Metrika!GQ19/Metrika!GQ18</f>
        <v>0.5357142857</v>
      </c>
      <c r="GR18" s="204">
        <f>Metrika!GR19/Metrika!GR18</f>
        <v>0.5714285714</v>
      </c>
      <c r="GS18" s="204">
        <f>Metrika!GS19/Metrika!GS18</f>
        <v>0.5</v>
      </c>
      <c r="GT18" s="204">
        <f>Metrika!GT19/Metrika!GT18</f>
        <v>0.4285714286</v>
      </c>
      <c r="GU18" s="204">
        <f>Metrika!GU19/Metrika!GU18</f>
        <v>0.6428571429</v>
      </c>
      <c r="GV18" s="203">
        <f>Metrika!GV19/Metrika!GV18</f>
        <v>0.6964285714</v>
      </c>
      <c r="GW18" s="204">
        <f>Metrika!GW19/Metrika!GW18</f>
        <v>0.7142857143</v>
      </c>
      <c r="GX18" s="204">
        <f>Metrika!GX19/Metrika!GX18</f>
        <v>0.6428571429</v>
      </c>
      <c r="GY18" s="204">
        <f>Metrika!GY19/Metrika!GY18</f>
        <v>0.5714285714</v>
      </c>
      <c r="GZ18" s="204">
        <f>Metrika!GZ19/Metrika!GZ18</f>
        <v>0.8571428571</v>
      </c>
      <c r="HA18" s="198"/>
    </row>
    <row r="19" ht="15.75" customHeight="1">
      <c r="A19" s="195"/>
      <c r="B19" s="78"/>
      <c r="C19" s="78"/>
      <c r="D19" s="78"/>
      <c r="E19" s="80" t="s">
        <v>26</v>
      </c>
      <c r="F19" s="198"/>
      <c r="G19" s="78"/>
      <c r="H19" s="78"/>
      <c r="I19" s="78"/>
      <c r="J19" s="78"/>
      <c r="K19" s="78"/>
      <c r="L19" s="78"/>
      <c r="M19" s="78"/>
      <c r="N19" s="78"/>
      <c r="O19" s="78"/>
      <c r="P19" s="78"/>
      <c r="Q19" s="78"/>
      <c r="R19" s="78"/>
      <c r="S19" s="78"/>
      <c r="T19" s="78"/>
      <c r="U19" s="78"/>
      <c r="V19" s="78"/>
      <c r="W19" s="78"/>
      <c r="X19" s="78"/>
      <c r="Y19" s="78"/>
      <c r="Z19" s="78"/>
      <c r="AA19" s="78"/>
      <c r="AB19" s="78"/>
      <c r="AC19" s="78"/>
      <c r="AD19" s="78"/>
      <c r="AE19" s="78"/>
      <c r="AF19" s="78"/>
      <c r="AG19" s="78"/>
      <c r="AH19" s="78"/>
      <c r="AI19" s="78"/>
      <c r="AJ19" s="78"/>
      <c r="AK19" s="78"/>
      <c r="AL19" s="78"/>
      <c r="AM19" s="78"/>
      <c r="AN19" s="78"/>
      <c r="AO19" s="78"/>
      <c r="AP19" s="78"/>
      <c r="AQ19" s="78"/>
      <c r="AR19" s="78"/>
      <c r="AS19" s="78"/>
      <c r="AT19" s="78"/>
      <c r="AU19" s="78"/>
      <c r="AV19" s="78"/>
      <c r="AW19" s="78"/>
      <c r="AX19" s="78"/>
      <c r="AY19" s="78"/>
      <c r="AZ19" s="78"/>
      <c r="BA19" s="78"/>
      <c r="BB19" s="78"/>
      <c r="BC19" s="78"/>
      <c r="BD19" s="78"/>
      <c r="BE19" s="78"/>
      <c r="BF19" s="78"/>
      <c r="BG19" s="78"/>
      <c r="BH19" s="78"/>
      <c r="BI19" s="78"/>
      <c r="BJ19" s="78"/>
      <c r="BK19" s="78"/>
      <c r="BL19" s="78"/>
      <c r="BM19" s="78"/>
      <c r="BN19" s="78"/>
      <c r="BO19" s="78"/>
      <c r="BP19" s="78"/>
      <c r="BQ19" s="78"/>
      <c r="BR19" s="78"/>
      <c r="BS19" s="78"/>
      <c r="BT19" s="78"/>
      <c r="BU19" s="78"/>
      <c r="BV19" s="78"/>
      <c r="BW19" s="78"/>
      <c r="BX19" s="78"/>
      <c r="BY19" s="78"/>
      <c r="BZ19" s="78"/>
      <c r="CA19" s="78"/>
      <c r="CB19" s="78"/>
      <c r="CC19" s="78"/>
      <c r="CD19" s="78"/>
      <c r="CE19" s="78"/>
      <c r="CF19" s="78"/>
      <c r="CG19" s="78"/>
      <c r="CH19" s="78"/>
      <c r="CI19" s="78"/>
      <c r="CJ19" s="78"/>
      <c r="CK19" s="78"/>
      <c r="CL19" s="78"/>
      <c r="CM19" s="78"/>
      <c r="CN19" s="78"/>
      <c r="CO19" s="78"/>
      <c r="CP19" s="78"/>
      <c r="CQ19" s="78"/>
      <c r="CR19" s="78"/>
      <c r="CS19" s="78"/>
      <c r="CT19" s="78"/>
      <c r="CU19" s="78"/>
      <c r="CV19" s="78"/>
      <c r="CW19" s="78"/>
      <c r="CX19" s="78"/>
      <c r="CY19" s="78"/>
      <c r="CZ19" s="78"/>
      <c r="DA19" s="78"/>
      <c r="DB19" s="78"/>
      <c r="DC19" s="78"/>
      <c r="DD19" s="78"/>
      <c r="DE19" s="78"/>
      <c r="DF19" s="78"/>
      <c r="DG19" s="78"/>
      <c r="DH19" s="78"/>
      <c r="DI19" s="78"/>
      <c r="DJ19" s="78"/>
      <c r="DK19" s="78"/>
      <c r="DL19" s="78"/>
      <c r="DM19" s="78"/>
      <c r="DN19" s="78"/>
      <c r="DO19" s="78"/>
      <c r="DP19" s="78"/>
      <c r="DQ19" s="78"/>
      <c r="DR19" s="78"/>
      <c r="DS19" s="78"/>
      <c r="DT19" s="78"/>
      <c r="DU19" s="78"/>
      <c r="DV19" s="78"/>
      <c r="DW19" s="78"/>
      <c r="DX19" s="78"/>
      <c r="DY19" s="78"/>
      <c r="DZ19" s="78"/>
      <c r="EA19" s="78"/>
      <c r="EB19" s="78"/>
      <c r="EC19" s="78"/>
      <c r="ED19" s="78"/>
      <c r="EE19" s="78"/>
      <c r="EF19" s="78"/>
      <c r="EG19" s="78"/>
      <c r="EH19" s="78"/>
      <c r="EI19" s="78"/>
      <c r="EJ19" s="78"/>
      <c r="EK19" s="78"/>
      <c r="EL19" s="78"/>
      <c r="EM19" s="78"/>
      <c r="EN19" s="78"/>
      <c r="EO19" s="78"/>
      <c r="EP19" s="78"/>
      <c r="EQ19" s="78"/>
      <c r="ER19" s="78"/>
      <c r="ES19" s="78"/>
      <c r="ET19" s="78"/>
      <c r="EU19" s="78"/>
      <c r="EV19" s="78"/>
      <c r="EW19" s="78"/>
      <c r="EX19" s="78"/>
      <c r="EY19" s="78"/>
      <c r="EZ19" s="78"/>
      <c r="FA19" s="78"/>
      <c r="FB19" s="78"/>
      <c r="FC19" s="78"/>
      <c r="FD19" s="78"/>
      <c r="FE19" s="78"/>
      <c r="FF19" s="78"/>
      <c r="FG19" s="78"/>
      <c r="FH19" s="78"/>
      <c r="FI19" s="78"/>
      <c r="FJ19" s="78"/>
      <c r="FK19" s="78"/>
      <c r="FL19" s="78"/>
      <c r="FM19" s="78"/>
      <c r="FN19" s="78"/>
      <c r="FO19" s="78"/>
      <c r="FP19" s="78"/>
      <c r="FQ19" s="78"/>
      <c r="FR19" s="78"/>
      <c r="FS19" s="78"/>
      <c r="FT19" s="78"/>
      <c r="FU19" s="78"/>
      <c r="FV19" s="78"/>
      <c r="FW19" s="78"/>
      <c r="FX19" s="78"/>
      <c r="FY19" s="78"/>
      <c r="FZ19" s="78"/>
      <c r="GA19" s="78"/>
      <c r="GB19" s="78"/>
      <c r="GC19" s="78"/>
      <c r="GD19" s="78"/>
      <c r="GE19" s="78"/>
      <c r="GF19" s="78"/>
      <c r="GG19" s="78"/>
      <c r="GH19" s="78"/>
      <c r="GI19" s="78"/>
      <c r="GJ19" s="78"/>
      <c r="GK19" s="78"/>
      <c r="GL19" s="78"/>
      <c r="GM19" s="78"/>
      <c r="GN19" s="78"/>
      <c r="GO19" s="78"/>
      <c r="GP19" s="78"/>
      <c r="GQ19" s="78"/>
      <c r="GR19" s="78"/>
      <c r="GS19" s="78"/>
      <c r="GT19" s="78"/>
      <c r="GU19" s="78"/>
      <c r="GV19" s="78"/>
      <c r="GW19" s="78"/>
      <c r="GX19" s="78"/>
      <c r="GY19" s="78"/>
      <c r="GZ19" s="78"/>
      <c r="HA19" s="198"/>
    </row>
    <row r="20" ht="15.75" customHeight="1">
      <c r="A20" s="195"/>
      <c r="B20" s="197" t="s">
        <v>54</v>
      </c>
      <c r="C20" s="87">
        <v>1.0</v>
      </c>
      <c r="D20" s="102" t="s">
        <v>55</v>
      </c>
      <c r="E20" s="80" t="s">
        <v>19</v>
      </c>
      <c r="F20" s="198"/>
      <c r="G20" s="199">
        <f>Metrika!G21/Metrika!G20</f>
        <v>0.8234126984</v>
      </c>
      <c r="H20" s="200">
        <f>Metrika!H21/Metrika!H20</f>
        <v>0.8234126984</v>
      </c>
      <c r="I20" s="201">
        <f>Metrika!I21/Metrika!I20</f>
        <v>0.8234126984</v>
      </c>
      <c r="J20" s="202">
        <f>Metrika!J21/Metrika!J20</f>
        <v>0.871031746</v>
      </c>
      <c r="K20" s="203">
        <f>Metrika!K21/Metrika!K20</f>
        <v>0.8392857143</v>
      </c>
      <c r="L20" s="204">
        <f>Metrika!L21/Metrika!L20</f>
        <v>0.8333333333</v>
      </c>
      <c r="M20" s="204">
        <f>Metrika!M21/Metrika!M20</f>
        <v>0.8095238095</v>
      </c>
      <c r="N20" s="204">
        <f>Metrika!N21/Metrika!N20</f>
        <v>0.7619047619</v>
      </c>
      <c r="O20" s="204">
        <f>Metrika!O21/Metrika!O20</f>
        <v>0.9523809524</v>
      </c>
      <c r="P20" s="203">
        <f>Metrika!P21/Metrika!P20</f>
        <v>0.8333333333</v>
      </c>
      <c r="Q20" s="204">
        <f>Metrika!Q21/Metrika!Q20</f>
        <v>0.7619047619</v>
      </c>
      <c r="R20" s="204">
        <f>Metrika!R21/Metrika!R20</f>
        <v>0.8095238095</v>
      </c>
      <c r="S20" s="204">
        <f>Metrika!S21/Metrika!S20</f>
        <v>0.8571428571</v>
      </c>
      <c r="T20" s="204">
        <f>Metrika!T21/Metrika!T20</f>
        <v>0.9047619048</v>
      </c>
      <c r="U20" s="203">
        <f>Metrika!U21/Metrika!U20</f>
        <v>0.9404761905</v>
      </c>
      <c r="V20" s="204">
        <f>Metrika!V21/Metrika!V20</f>
        <v>0.9047619048</v>
      </c>
      <c r="W20" s="204">
        <f>Metrika!W21/Metrika!W20</f>
        <v>0.9047619048</v>
      </c>
      <c r="X20" s="204">
        <f>Metrika!X21/Metrika!X20</f>
        <v>0.9523809524</v>
      </c>
      <c r="Y20" s="204">
        <f>Metrika!Y21/Metrika!Y20</f>
        <v>1</v>
      </c>
      <c r="Z20" s="202">
        <f>Metrika!Z21/Metrika!Z20</f>
        <v>0.7757936508</v>
      </c>
      <c r="AA20" s="203">
        <f>Metrika!AA21/Metrika!AA20</f>
        <v>0.7857142857</v>
      </c>
      <c r="AB20" s="204">
        <f>Metrika!AB21/Metrika!AB20</f>
        <v>0.7619047619</v>
      </c>
      <c r="AC20" s="204">
        <f>Metrika!AC21/Metrika!AC20</f>
        <v>0.8095238095</v>
      </c>
      <c r="AD20" s="204">
        <f>Metrika!AD21/Metrika!AD20</f>
        <v>0.7380952381</v>
      </c>
      <c r="AE20" s="204">
        <f>Metrika!AE21/Metrika!AE20</f>
        <v>0.8333333333</v>
      </c>
      <c r="AF20" s="203">
        <f>Metrika!AF21/Metrika!AF20</f>
        <v>0.7619047619</v>
      </c>
      <c r="AG20" s="204">
        <f>Metrika!AG21/Metrika!AG20</f>
        <v>0.7142857143</v>
      </c>
      <c r="AH20" s="204">
        <f>Metrika!AH21/Metrika!AH20</f>
        <v>0.7380952381</v>
      </c>
      <c r="AI20" s="204">
        <f>Metrika!AI21/Metrika!AI20</f>
        <v>0.7857142857</v>
      </c>
      <c r="AJ20" s="204">
        <f>Metrika!AJ21/Metrika!AJ20</f>
        <v>0.8095238095</v>
      </c>
      <c r="AK20" s="203">
        <f>Metrika!AK21/Metrika!AK20</f>
        <v>0.7797619048</v>
      </c>
      <c r="AL20" s="204">
        <f>Metrika!AL21/Metrika!AL20</f>
        <v>0.8095238095</v>
      </c>
      <c r="AM20" s="204">
        <f>Metrika!AM21/Metrika!AM20</f>
        <v>0.8333333333</v>
      </c>
      <c r="AN20" s="204">
        <f>Metrika!AN21/Metrika!AN20</f>
        <v>0.7619047619</v>
      </c>
      <c r="AO20" s="204">
        <f>Metrika!AO21/Metrika!AO20</f>
        <v>0.7142857143</v>
      </c>
      <c r="AP20" s="201">
        <f>Metrika!AP21/Metrika!AP20</f>
        <v>0.8234126984</v>
      </c>
      <c r="AQ20" s="202">
        <f>Metrika!AQ21/Metrika!AQ20</f>
        <v>0.7757936508</v>
      </c>
      <c r="AR20" s="203">
        <f>Metrika!AR21/Metrika!AR20</f>
        <v>0.7797619048</v>
      </c>
      <c r="AS20" s="204">
        <f>Metrika!AS21/Metrika!AS20</f>
        <v>0.8095238095</v>
      </c>
      <c r="AT20" s="204">
        <f>Metrika!AT21/Metrika!AT20</f>
        <v>0.8333333333</v>
      </c>
      <c r="AU20" s="204">
        <f>Metrika!AU21/Metrika!AU20</f>
        <v>0.7619047619</v>
      </c>
      <c r="AV20" s="204">
        <f>Metrika!AV21/Metrika!AV20</f>
        <v>0.7142857143</v>
      </c>
      <c r="AW20" s="203">
        <f>Metrika!AW21/Metrika!AW20</f>
        <v>0.7857142857</v>
      </c>
      <c r="AX20" s="204">
        <f>Metrika!AX21/Metrika!AX20</f>
        <v>0.7619047619</v>
      </c>
      <c r="AY20" s="204">
        <f>Metrika!AY21/Metrika!AY20</f>
        <v>0.8095238095</v>
      </c>
      <c r="AZ20" s="204">
        <f>Metrika!AZ21/Metrika!AZ20</f>
        <v>0.7380952381</v>
      </c>
      <c r="BA20" s="204">
        <f>Metrika!BA21/Metrika!BA20</f>
        <v>0.8333333333</v>
      </c>
      <c r="BB20" s="203">
        <f>Metrika!BB21/Metrika!BB20</f>
        <v>0.7619047619</v>
      </c>
      <c r="BC20" s="204">
        <f>Metrika!BC21/Metrika!BC20</f>
        <v>0.7142857143</v>
      </c>
      <c r="BD20" s="204">
        <f>Metrika!BD21/Metrika!BD20</f>
        <v>0.7380952381</v>
      </c>
      <c r="BE20" s="204">
        <f>Metrika!BE21/Metrika!BE20</f>
        <v>0.7857142857</v>
      </c>
      <c r="BF20" s="204">
        <f>Metrika!BF21/Metrika!BF20</f>
        <v>0.8095238095</v>
      </c>
      <c r="BG20" s="202">
        <f>Metrika!BG21/Metrika!BG20</f>
        <v>0.871031746</v>
      </c>
      <c r="BH20" s="203">
        <f>Metrika!BH21/Metrika!BH20</f>
        <v>0.8333333333</v>
      </c>
      <c r="BI20" s="204">
        <f>Metrika!BI21/Metrika!BI20</f>
        <v>0.7619047619</v>
      </c>
      <c r="BJ20" s="204">
        <f>Metrika!BJ21/Metrika!BJ20</f>
        <v>0.8095238095</v>
      </c>
      <c r="BK20" s="204">
        <f>Metrika!BK21/Metrika!BK20</f>
        <v>0.8571428571</v>
      </c>
      <c r="BL20" s="204">
        <f>Metrika!BL21/Metrika!BL20</f>
        <v>0.9047619048</v>
      </c>
      <c r="BM20" s="203">
        <f>Metrika!BM21/Metrika!BM20</f>
        <v>0.9404761905</v>
      </c>
      <c r="BN20" s="204">
        <f>Metrika!BN21/Metrika!BN20</f>
        <v>0.9047619048</v>
      </c>
      <c r="BO20" s="204">
        <f>Metrika!BO21/Metrika!BO20</f>
        <v>0.9047619048</v>
      </c>
      <c r="BP20" s="204">
        <f>Metrika!BP21/Metrika!BP20</f>
        <v>0.9523809524</v>
      </c>
      <c r="BQ20" s="204">
        <f>Metrika!BQ21/Metrika!BQ20</f>
        <v>1</v>
      </c>
      <c r="BR20" s="203">
        <f>Metrika!BR21/Metrika!BR20</f>
        <v>0.8392857143</v>
      </c>
      <c r="BS20" s="204">
        <f>Metrika!BS21/Metrika!BS20</f>
        <v>0.8333333333</v>
      </c>
      <c r="BT20" s="204">
        <f>Metrika!BT21/Metrika!BT20</f>
        <v>0.8095238095</v>
      </c>
      <c r="BU20" s="204">
        <f>Metrika!BU21/Metrika!BU20</f>
        <v>0.7619047619</v>
      </c>
      <c r="BV20" s="204">
        <f>Metrika!BV21/Metrika!BV20</f>
        <v>0.9523809524</v>
      </c>
      <c r="BW20" s="200">
        <f>Metrika!BW21/Metrika!BW20</f>
        <v>0.8234126984</v>
      </c>
      <c r="BX20" s="201">
        <f>Metrika!BX21/Metrika!BX20</f>
        <v>0.8234126984</v>
      </c>
      <c r="BY20" s="202">
        <f>Metrika!BY21/Metrika!BY20</f>
        <v>0.7757936508</v>
      </c>
      <c r="BZ20" s="203">
        <f>Metrika!BZ21/Metrika!BZ20</f>
        <v>0.7619047619</v>
      </c>
      <c r="CA20" s="204">
        <f>Metrika!CA21/Metrika!CA20</f>
        <v>0.7142857143</v>
      </c>
      <c r="CB20" s="204">
        <f>Metrika!CB21/Metrika!CB20</f>
        <v>0.7380952381</v>
      </c>
      <c r="CC20" s="204">
        <f>Metrika!CC21/Metrika!CC20</f>
        <v>0.7857142857</v>
      </c>
      <c r="CD20" s="204">
        <f>Metrika!CD21/Metrika!CD20</f>
        <v>0.8095238095</v>
      </c>
      <c r="CE20" s="203">
        <f>Metrika!CE21/Metrika!CE20</f>
        <v>0.7797619048</v>
      </c>
      <c r="CF20" s="204">
        <f>Metrika!CF21/Metrika!CF20</f>
        <v>0.8095238095</v>
      </c>
      <c r="CG20" s="204">
        <f>Metrika!CG21/Metrika!CG20</f>
        <v>0.8333333333</v>
      </c>
      <c r="CH20" s="204">
        <f>Metrika!CH21/Metrika!CH20</f>
        <v>0.7619047619</v>
      </c>
      <c r="CI20" s="204">
        <f>Metrika!CI21/Metrika!CI20</f>
        <v>0.7142857143</v>
      </c>
      <c r="CJ20" s="203">
        <f>Metrika!CJ21/Metrika!CJ20</f>
        <v>0.7857142857</v>
      </c>
      <c r="CK20" s="204">
        <f>Metrika!CK21/Metrika!CK20</f>
        <v>0.7619047619</v>
      </c>
      <c r="CL20" s="204">
        <f>Metrika!CL21/Metrika!CL20</f>
        <v>0.8095238095</v>
      </c>
      <c r="CM20" s="204">
        <f>Metrika!CM21/Metrika!CM20</f>
        <v>0.7380952381</v>
      </c>
      <c r="CN20" s="204">
        <f>Metrika!CN21/Metrika!CN20</f>
        <v>0.8333333333</v>
      </c>
      <c r="CO20" s="202">
        <f>Metrika!CO21/Metrika!CO20</f>
        <v>0.871031746</v>
      </c>
      <c r="CP20" s="203">
        <f>Metrika!CP21/Metrika!CP20</f>
        <v>0.8392857143</v>
      </c>
      <c r="CQ20" s="204">
        <f>Metrika!CQ21/Metrika!CQ20</f>
        <v>0.8333333333</v>
      </c>
      <c r="CR20" s="204">
        <f>Metrika!CR21/Metrika!CR20</f>
        <v>0.8095238095</v>
      </c>
      <c r="CS20" s="204">
        <f>Metrika!CS21/Metrika!CS20</f>
        <v>0.7619047619</v>
      </c>
      <c r="CT20" s="204">
        <f>Metrika!CT21/Metrika!CT20</f>
        <v>0.9523809524</v>
      </c>
      <c r="CU20" s="203">
        <f>Metrika!CU21/Metrika!CU20</f>
        <v>0.8333333333</v>
      </c>
      <c r="CV20" s="204">
        <f>Metrika!CV21/Metrika!CV20</f>
        <v>0.7619047619</v>
      </c>
      <c r="CW20" s="204">
        <f>Metrika!CW21/Metrika!CW20</f>
        <v>0.8095238095</v>
      </c>
      <c r="CX20" s="204">
        <f>Metrika!CX21/Metrika!CX20</f>
        <v>0.8571428571</v>
      </c>
      <c r="CY20" s="204">
        <f>Metrika!CY21/Metrika!CY20</f>
        <v>0.9047619048</v>
      </c>
      <c r="CZ20" s="203">
        <f>Metrika!CZ21/Metrika!CZ20</f>
        <v>0.9404761905</v>
      </c>
      <c r="DA20" s="204">
        <f>Metrika!DA21/Metrika!DA20</f>
        <v>0.9047619048</v>
      </c>
      <c r="DB20" s="204">
        <f>Metrika!DB21/Metrika!DB20</f>
        <v>0.9047619048</v>
      </c>
      <c r="DC20" s="204">
        <f>Metrika!DC21/Metrika!DC20</f>
        <v>0.9523809524</v>
      </c>
      <c r="DD20" s="204">
        <f>Metrika!DD21/Metrika!DD20</f>
        <v>1</v>
      </c>
      <c r="DE20" s="201">
        <f>Metrika!DE21/Metrika!DE20</f>
        <v>0.8234126984</v>
      </c>
      <c r="DF20" s="202">
        <f>Metrika!DF21/Metrika!DF20</f>
        <v>0.871031746</v>
      </c>
      <c r="DG20" s="203">
        <f>Metrika!DG21/Metrika!DG20</f>
        <v>0.9404761905</v>
      </c>
      <c r="DH20" s="204">
        <f>Metrika!DH21/Metrika!DH20</f>
        <v>0.9047619048</v>
      </c>
      <c r="DI20" s="204">
        <f>Metrika!DI21/Metrika!DI20</f>
        <v>0.9047619048</v>
      </c>
      <c r="DJ20" s="204">
        <f>Metrika!DJ21/Metrika!DJ20</f>
        <v>0.9523809524</v>
      </c>
      <c r="DK20" s="204">
        <f>Metrika!DK21/Metrika!DK20</f>
        <v>1</v>
      </c>
      <c r="DL20" s="203">
        <f>Metrika!DL21/Metrika!DL20</f>
        <v>0.8392857143</v>
      </c>
      <c r="DM20" s="204">
        <f>Metrika!DM21/Metrika!DM20</f>
        <v>0.8333333333</v>
      </c>
      <c r="DN20" s="204">
        <f>Metrika!DN21/Metrika!DN20</f>
        <v>0.8095238095</v>
      </c>
      <c r="DO20" s="204">
        <f>Metrika!DO21/Metrika!DO20</f>
        <v>0.7619047619</v>
      </c>
      <c r="DP20" s="204">
        <f>Metrika!DP21/Metrika!DP20</f>
        <v>0.9523809524</v>
      </c>
      <c r="DQ20" s="203">
        <f>Metrika!DQ21/Metrika!DQ20</f>
        <v>0.8333333333</v>
      </c>
      <c r="DR20" s="204">
        <f>Metrika!DR21/Metrika!DR20</f>
        <v>0.7619047619</v>
      </c>
      <c r="DS20" s="204">
        <f>Metrika!DS21/Metrika!DS20</f>
        <v>0.8095238095</v>
      </c>
      <c r="DT20" s="204">
        <f>Metrika!DT21/Metrika!DT20</f>
        <v>0.8571428571</v>
      </c>
      <c r="DU20" s="204">
        <f>Metrika!DU21/Metrika!DU20</f>
        <v>0.9047619048</v>
      </c>
      <c r="DV20" s="202">
        <f>Metrika!DV21/Metrika!DV20</f>
        <v>0.7757936508</v>
      </c>
      <c r="DW20" s="203">
        <f>Metrika!DW21/Metrika!DW20</f>
        <v>0.7797619048</v>
      </c>
      <c r="DX20" s="204">
        <f>Metrika!DX21/Metrika!DX20</f>
        <v>0.8095238095</v>
      </c>
      <c r="DY20" s="204">
        <f>Metrika!DY21/Metrika!DY20</f>
        <v>0.8333333333</v>
      </c>
      <c r="DZ20" s="204">
        <f>Metrika!DZ21/Metrika!DZ20</f>
        <v>0.7619047619</v>
      </c>
      <c r="EA20" s="204">
        <f>Metrika!EA21/Metrika!EA20</f>
        <v>0.7142857143</v>
      </c>
      <c r="EB20" s="203">
        <f>Metrika!EB21/Metrika!EB20</f>
        <v>0.7619047619</v>
      </c>
      <c r="EC20" s="204">
        <f>Metrika!EC21/Metrika!EC20</f>
        <v>0.7142857143</v>
      </c>
      <c r="ED20" s="204">
        <f>Metrika!ED21/Metrika!ED20</f>
        <v>0.7380952381</v>
      </c>
      <c r="EE20" s="204">
        <f>Metrika!EE21/Metrika!EE20</f>
        <v>0.7857142857</v>
      </c>
      <c r="EF20" s="204">
        <f>Metrika!EF21/Metrika!EF20</f>
        <v>0.8095238095</v>
      </c>
      <c r="EG20" s="203">
        <f>Metrika!EG21/Metrika!EG20</f>
        <v>0.7857142857</v>
      </c>
      <c r="EH20" s="204">
        <f>Metrika!EH21/Metrika!EH20</f>
        <v>0.7619047619</v>
      </c>
      <c r="EI20" s="204">
        <f>Metrika!EI21/Metrika!EI20</f>
        <v>0.8095238095</v>
      </c>
      <c r="EJ20" s="204">
        <f>Metrika!EJ21/Metrika!EJ20</f>
        <v>0.7380952381</v>
      </c>
      <c r="EK20" s="204">
        <f>Metrika!EK21/Metrika!EK20</f>
        <v>0.8333333333</v>
      </c>
      <c r="EL20" s="200">
        <f>Metrika!EL21/Metrika!EL20</f>
        <v>0.8234126984</v>
      </c>
      <c r="EM20" s="201">
        <f>Metrika!EM21/Metrika!EM20</f>
        <v>0.8234126984</v>
      </c>
      <c r="EN20" s="202">
        <f>Metrika!EN21/Metrika!EN20</f>
        <v>0.7757936508</v>
      </c>
      <c r="EO20" s="203">
        <f>Metrika!EO21/Metrika!EO20</f>
        <v>0.7619047619</v>
      </c>
      <c r="EP20" s="204">
        <f>Metrika!EP21/Metrika!EP20</f>
        <v>0.7142857143</v>
      </c>
      <c r="EQ20" s="204">
        <f>Metrika!EQ21/Metrika!EQ20</f>
        <v>0.7380952381</v>
      </c>
      <c r="ER20" s="204">
        <f>Metrika!ER21/Metrika!ER20</f>
        <v>0.7857142857</v>
      </c>
      <c r="ES20" s="204">
        <f>Metrika!ES21/Metrika!ES20</f>
        <v>0.8095238095</v>
      </c>
      <c r="ET20" s="203">
        <f>Metrika!ET21/Metrika!ET20</f>
        <v>0.7857142857</v>
      </c>
      <c r="EU20" s="204">
        <f>Metrika!EU21/Metrika!EU20</f>
        <v>0.7619047619</v>
      </c>
      <c r="EV20" s="204">
        <f>Metrika!EV21/Metrika!EV20</f>
        <v>0.8095238095</v>
      </c>
      <c r="EW20" s="204">
        <f>Metrika!EW21/Metrika!EW20</f>
        <v>0.7380952381</v>
      </c>
      <c r="EX20" s="204">
        <f>Metrika!EX21/Metrika!EX20</f>
        <v>0.8333333333</v>
      </c>
      <c r="EY20" s="203">
        <f>Metrika!EY21/Metrika!EY20</f>
        <v>0.7797619048</v>
      </c>
      <c r="EZ20" s="204">
        <f>Metrika!EZ21/Metrika!EZ20</f>
        <v>0.8095238095</v>
      </c>
      <c r="FA20" s="204">
        <f>Metrika!FA21/Metrika!FA20</f>
        <v>0.8333333333</v>
      </c>
      <c r="FB20" s="204">
        <f>Metrika!FB21/Metrika!FB20</f>
        <v>0.7619047619</v>
      </c>
      <c r="FC20" s="204">
        <f>Metrika!FC21/Metrika!FC20</f>
        <v>0.7142857143</v>
      </c>
      <c r="FD20" s="202">
        <f>Metrika!FD21/Metrika!FD20</f>
        <v>0.871031746</v>
      </c>
      <c r="FE20" s="203">
        <f>Metrika!FE21/Metrika!FE20</f>
        <v>0.8392857143</v>
      </c>
      <c r="FF20" s="204">
        <f>Metrika!FF21/Metrika!FF20</f>
        <v>0.8333333333</v>
      </c>
      <c r="FG20" s="204">
        <f>Metrika!FG21/Metrika!FG20</f>
        <v>0.8095238095</v>
      </c>
      <c r="FH20" s="204">
        <f>Metrika!FH21/Metrika!FH20</f>
        <v>0.7619047619</v>
      </c>
      <c r="FI20" s="204">
        <f>Metrika!FI21/Metrika!FI20</f>
        <v>0.9523809524</v>
      </c>
      <c r="FJ20" s="203">
        <f>Metrika!FJ21/Metrika!FJ20</f>
        <v>0.8333333333</v>
      </c>
      <c r="FK20" s="204">
        <f>Metrika!FK21/Metrika!FK20</f>
        <v>0.7619047619</v>
      </c>
      <c r="FL20" s="204">
        <f>Metrika!FL21/Metrika!FL20</f>
        <v>0.8095238095</v>
      </c>
      <c r="FM20" s="204">
        <f>Metrika!FM21/Metrika!FM20</f>
        <v>0.8571428571</v>
      </c>
      <c r="FN20" s="204">
        <f>Metrika!FN21/Metrika!FN20</f>
        <v>0.9047619048</v>
      </c>
      <c r="FO20" s="203">
        <f>Metrika!FO21/Metrika!FO20</f>
        <v>0.9404761905</v>
      </c>
      <c r="FP20" s="204">
        <f>Metrika!FP21/Metrika!FP20</f>
        <v>0.9047619048</v>
      </c>
      <c r="FQ20" s="204">
        <f>Metrika!FQ21/Metrika!FQ20</f>
        <v>0.9047619048</v>
      </c>
      <c r="FR20" s="204">
        <f>Metrika!FR21/Metrika!FR20</f>
        <v>0.9523809524</v>
      </c>
      <c r="FS20" s="204">
        <f>Metrika!FS21/Metrika!FS20</f>
        <v>1</v>
      </c>
      <c r="FT20" s="201">
        <f>Metrika!FT21/Metrika!FT20</f>
        <v>0.8234126984</v>
      </c>
      <c r="FU20" s="202">
        <f>Metrika!FU21/Metrika!FU20</f>
        <v>0.871031746</v>
      </c>
      <c r="FV20" s="203">
        <f>Metrika!FV21/Metrika!FV20</f>
        <v>0.9404761905</v>
      </c>
      <c r="FW20" s="204">
        <f>Metrika!FW21/Metrika!FW20</f>
        <v>0.9047619048</v>
      </c>
      <c r="FX20" s="204">
        <f>Metrika!FX21/Metrika!FX20</f>
        <v>0.9047619048</v>
      </c>
      <c r="FY20" s="204">
        <f>Metrika!FY21/Metrika!FY20</f>
        <v>0.9523809524</v>
      </c>
      <c r="FZ20" s="204">
        <f>Metrika!FZ21/Metrika!FZ20</f>
        <v>1</v>
      </c>
      <c r="GA20" s="203">
        <f>Metrika!GA21/Metrika!GA20</f>
        <v>0.8392857143</v>
      </c>
      <c r="GB20" s="204">
        <f>Metrika!GB21/Metrika!GB20</f>
        <v>0.8333333333</v>
      </c>
      <c r="GC20" s="204">
        <f>Metrika!GC21/Metrika!GC20</f>
        <v>0.8095238095</v>
      </c>
      <c r="GD20" s="204">
        <f>Metrika!GD21/Metrika!GD20</f>
        <v>0.7619047619</v>
      </c>
      <c r="GE20" s="204">
        <f>Metrika!GE21/Metrika!GE20</f>
        <v>0.9523809524</v>
      </c>
      <c r="GF20" s="203">
        <f>Metrika!GF21/Metrika!GF20</f>
        <v>0.8333333333</v>
      </c>
      <c r="GG20" s="204">
        <f>Metrika!GG21/Metrika!GG20</f>
        <v>0.7619047619</v>
      </c>
      <c r="GH20" s="204">
        <f>Metrika!GH21/Metrika!GH20</f>
        <v>0.8095238095</v>
      </c>
      <c r="GI20" s="204">
        <f>Metrika!GI21/Metrika!GI20</f>
        <v>0.8571428571</v>
      </c>
      <c r="GJ20" s="204">
        <f>Metrika!GJ21/Metrika!GJ20</f>
        <v>0.9047619048</v>
      </c>
      <c r="GK20" s="202">
        <f>Metrika!GK21/Metrika!GK20</f>
        <v>0.7757936508</v>
      </c>
      <c r="GL20" s="203">
        <f>Metrika!GL21/Metrika!GL20</f>
        <v>0.7857142857</v>
      </c>
      <c r="GM20" s="204">
        <f>Metrika!GM21/Metrika!GM20</f>
        <v>0.7619047619</v>
      </c>
      <c r="GN20" s="204">
        <f>Metrika!GN21/Metrika!GN20</f>
        <v>0.8095238095</v>
      </c>
      <c r="GO20" s="204">
        <f>Metrika!GO21/Metrika!GO20</f>
        <v>0.7380952381</v>
      </c>
      <c r="GP20" s="204">
        <f>Metrika!GP21/Metrika!GP20</f>
        <v>0.8333333333</v>
      </c>
      <c r="GQ20" s="203">
        <f>Metrika!GQ21/Metrika!GQ20</f>
        <v>0.7619047619</v>
      </c>
      <c r="GR20" s="204">
        <f>Metrika!GR21/Metrika!GR20</f>
        <v>0.7142857143</v>
      </c>
      <c r="GS20" s="204">
        <f>Metrika!GS21/Metrika!GS20</f>
        <v>0.7380952381</v>
      </c>
      <c r="GT20" s="204">
        <f>Metrika!GT21/Metrika!GT20</f>
        <v>0.7857142857</v>
      </c>
      <c r="GU20" s="204">
        <f>Metrika!GU21/Metrika!GU20</f>
        <v>0.8095238095</v>
      </c>
      <c r="GV20" s="203">
        <f>Metrika!GV21/Metrika!GV20</f>
        <v>0.7797619048</v>
      </c>
      <c r="GW20" s="204">
        <f>Metrika!GW21/Metrika!GW20</f>
        <v>0.8095238095</v>
      </c>
      <c r="GX20" s="204">
        <f>Metrika!GX21/Metrika!GX20</f>
        <v>0.8333333333</v>
      </c>
      <c r="GY20" s="204">
        <f>Metrika!GY21/Metrika!GY20</f>
        <v>0.7619047619</v>
      </c>
      <c r="GZ20" s="204">
        <f>Metrika!GZ21/Metrika!GZ20</f>
        <v>0.7142857143</v>
      </c>
      <c r="HA20" s="198"/>
    </row>
    <row r="21" ht="15.75" customHeight="1">
      <c r="A21" s="195"/>
      <c r="B21" s="82"/>
      <c r="C21" s="78"/>
      <c r="D21" s="78"/>
      <c r="E21" s="80" t="s">
        <v>26</v>
      </c>
      <c r="F21" s="198"/>
      <c r="G21" s="78"/>
      <c r="H21" s="78"/>
      <c r="I21" s="78"/>
      <c r="J21" s="78"/>
      <c r="K21" s="78"/>
      <c r="L21" s="78"/>
      <c r="M21" s="78"/>
      <c r="N21" s="78"/>
      <c r="O21" s="78"/>
      <c r="P21" s="78"/>
      <c r="Q21" s="78"/>
      <c r="R21" s="78"/>
      <c r="S21" s="78"/>
      <c r="T21" s="78"/>
      <c r="U21" s="78"/>
      <c r="V21" s="78"/>
      <c r="W21" s="78"/>
      <c r="X21" s="78"/>
      <c r="Y21" s="78"/>
      <c r="Z21" s="78"/>
      <c r="AA21" s="78"/>
      <c r="AB21" s="78"/>
      <c r="AC21" s="78"/>
      <c r="AD21" s="78"/>
      <c r="AE21" s="78"/>
      <c r="AF21" s="78"/>
      <c r="AG21" s="78"/>
      <c r="AH21" s="78"/>
      <c r="AI21" s="78"/>
      <c r="AJ21" s="78"/>
      <c r="AK21" s="78"/>
      <c r="AL21" s="78"/>
      <c r="AM21" s="78"/>
      <c r="AN21" s="78"/>
      <c r="AO21" s="78"/>
      <c r="AP21" s="78"/>
      <c r="AQ21" s="78"/>
      <c r="AR21" s="78"/>
      <c r="AS21" s="78"/>
      <c r="AT21" s="78"/>
      <c r="AU21" s="78"/>
      <c r="AV21" s="78"/>
      <c r="AW21" s="78"/>
      <c r="AX21" s="78"/>
      <c r="AY21" s="78"/>
      <c r="AZ21" s="78"/>
      <c r="BA21" s="78"/>
      <c r="BB21" s="78"/>
      <c r="BC21" s="78"/>
      <c r="BD21" s="78"/>
      <c r="BE21" s="78"/>
      <c r="BF21" s="78"/>
      <c r="BG21" s="78"/>
      <c r="BH21" s="78"/>
      <c r="BI21" s="78"/>
      <c r="BJ21" s="78"/>
      <c r="BK21" s="78"/>
      <c r="BL21" s="78"/>
      <c r="BM21" s="78"/>
      <c r="BN21" s="78"/>
      <c r="BO21" s="78"/>
      <c r="BP21" s="78"/>
      <c r="BQ21" s="78"/>
      <c r="BR21" s="78"/>
      <c r="BS21" s="78"/>
      <c r="BT21" s="78"/>
      <c r="BU21" s="78"/>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78"/>
      <c r="EJ21" s="78"/>
      <c r="EK21" s="78"/>
      <c r="EL21" s="78"/>
      <c r="EM21" s="78"/>
      <c r="EN21" s="78"/>
      <c r="EO21" s="78"/>
      <c r="EP21" s="78"/>
      <c r="EQ21" s="78"/>
      <c r="ER21" s="78"/>
      <c r="ES21" s="78"/>
      <c r="ET21" s="78"/>
      <c r="EU21" s="78"/>
      <c r="EV21" s="78"/>
      <c r="EW21" s="78"/>
      <c r="EX21" s="78"/>
      <c r="EY21" s="78"/>
      <c r="EZ21" s="78"/>
      <c r="FA21" s="78"/>
      <c r="FB21" s="78"/>
      <c r="FC21" s="78"/>
      <c r="FD21" s="78"/>
      <c r="FE21" s="78"/>
      <c r="FF21" s="78"/>
      <c r="FG21" s="78"/>
      <c r="FH21" s="78"/>
      <c r="FI21" s="78"/>
      <c r="FJ21" s="78"/>
      <c r="FK21" s="78"/>
      <c r="FL21" s="78"/>
      <c r="FM21" s="78"/>
      <c r="FN21" s="78"/>
      <c r="FO21" s="78"/>
      <c r="FP21" s="78"/>
      <c r="FQ21" s="78"/>
      <c r="FR21" s="78"/>
      <c r="FS21" s="78"/>
      <c r="FT21" s="78"/>
      <c r="FU21" s="78"/>
      <c r="FV21" s="78"/>
      <c r="FW21" s="78"/>
      <c r="FX21" s="78"/>
      <c r="FY21" s="78"/>
      <c r="FZ21" s="78"/>
      <c r="GA21" s="78"/>
      <c r="GB21" s="78"/>
      <c r="GC21" s="78"/>
      <c r="GD21" s="78"/>
      <c r="GE21" s="78"/>
      <c r="GF21" s="78"/>
      <c r="GG21" s="78"/>
      <c r="GH21" s="78"/>
      <c r="GI21" s="78"/>
      <c r="GJ21" s="78"/>
      <c r="GK21" s="78"/>
      <c r="GL21" s="78"/>
      <c r="GM21" s="78"/>
      <c r="GN21" s="78"/>
      <c r="GO21" s="78"/>
      <c r="GP21" s="78"/>
      <c r="GQ21" s="78"/>
      <c r="GR21" s="78"/>
      <c r="GS21" s="78"/>
      <c r="GT21" s="78"/>
      <c r="GU21" s="78"/>
      <c r="GV21" s="78"/>
      <c r="GW21" s="78"/>
      <c r="GX21" s="78"/>
      <c r="GY21" s="78"/>
      <c r="GZ21" s="78"/>
      <c r="HA21" s="198"/>
    </row>
    <row r="22" ht="15.75" customHeight="1">
      <c r="A22" s="195"/>
      <c r="B22" s="82"/>
      <c r="C22" s="87">
        <v>2.0</v>
      </c>
      <c r="D22" s="123" t="s">
        <v>60</v>
      </c>
      <c r="E22" s="80" t="s">
        <v>19</v>
      </c>
      <c r="F22" s="198"/>
      <c r="G22" s="199">
        <f>Metrika!G23/Metrika!G22</f>
        <v>0.8229166667</v>
      </c>
      <c r="H22" s="200">
        <f>Metrika!H23/Metrika!H22</f>
        <v>0.8229166667</v>
      </c>
      <c r="I22" s="201">
        <f>Metrika!I23/Metrika!I22</f>
        <v>0.8229166667</v>
      </c>
      <c r="J22" s="202">
        <f>Metrika!J23/Metrika!J22</f>
        <v>0.9166666667</v>
      </c>
      <c r="K22" s="203">
        <f>Metrika!K23/Metrika!K22</f>
        <v>0.8660714286</v>
      </c>
      <c r="L22" s="204">
        <f>Metrika!L23/Metrika!L22</f>
        <v>0.7857142857</v>
      </c>
      <c r="M22" s="204">
        <f>Metrika!M23/Metrika!M22</f>
        <v>0.8571428571</v>
      </c>
      <c r="N22" s="204">
        <f>Metrika!N23/Metrika!N22</f>
        <v>0.8928571429</v>
      </c>
      <c r="O22" s="204">
        <f>Metrika!O23/Metrika!O22</f>
        <v>0.9285714286</v>
      </c>
      <c r="P22" s="203">
        <f>Metrika!P23/Metrika!P22</f>
        <v>0.9375</v>
      </c>
      <c r="Q22" s="204">
        <f>Metrika!Q23/Metrika!Q22</f>
        <v>0.8571428571</v>
      </c>
      <c r="R22" s="204">
        <f>Metrika!R23/Metrika!R22</f>
        <v>0.9285714286</v>
      </c>
      <c r="S22" s="204">
        <f>Metrika!S23/Metrika!S22</f>
        <v>0.9642857143</v>
      </c>
      <c r="T22" s="204">
        <f>Metrika!T23/Metrika!T22</f>
        <v>1</v>
      </c>
      <c r="U22" s="203">
        <f>Metrika!U23/Metrika!U22</f>
        <v>0.9464285714</v>
      </c>
      <c r="V22" s="204">
        <f>Metrika!V23/Metrika!V22</f>
        <v>1</v>
      </c>
      <c r="W22" s="204">
        <f>Metrika!W23/Metrika!W22</f>
        <v>0.9642857143</v>
      </c>
      <c r="X22" s="204">
        <f>Metrika!X23/Metrika!X22</f>
        <v>0.8928571429</v>
      </c>
      <c r="Y22" s="204">
        <f>Metrika!Y23/Metrika!Y22</f>
        <v>0.9285714286</v>
      </c>
      <c r="Z22" s="202">
        <f>Metrika!Z23/Metrika!Z22</f>
        <v>0.7291666667</v>
      </c>
      <c r="AA22" s="203">
        <f>Metrika!AA23/Metrika!AA22</f>
        <v>0.75</v>
      </c>
      <c r="AB22" s="204">
        <f>Metrika!AB23/Metrika!AB22</f>
        <v>0.6428571429</v>
      </c>
      <c r="AC22" s="204">
        <f>Metrika!AC23/Metrika!AC22</f>
        <v>0.7142857143</v>
      </c>
      <c r="AD22" s="204">
        <f>Metrika!AD23/Metrika!AD22</f>
        <v>0.75</v>
      </c>
      <c r="AE22" s="204">
        <f>Metrika!AE23/Metrika!AE22</f>
        <v>0.8928571429</v>
      </c>
      <c r="AF22" s="203">
        <f>Metrika!AF23/Metrika!AF22</f>
        <v>0.6696428571</v>
      </c>
      <c r="AG22" s="204">
        <f>Metrika!AG23/Metrika!AG22</f>
        <v>0.7142857143</v>
      </c>
      <c r="AH22" s="204">
        <f>Metrika!AH23/Metrika!AH22</f>
        <v>0.6428571429</v>
      </c>
      <c r="AI22" s="204">
        <f>Metrika!AI23/Metrika!AI22</f>
        <v>0.6071428571</v>
      </c>
      <c r="AJ22" s="204">
        <f>Metrika!AJ23/Metrika!AJ22</f>
        <v>0.7142857143</v>
      </c>
      <c r="AK22" s="203">
        <f>Metrika!AK23/Metrika!AK22</f>
        <v>0.7678571429</v>
      </c>
      <c r="AL22" s="204">
        <f>Metrika!AL23/Metrika!AL22</f>
        <v>0.75</v>
      </c>
      <c r="AM22" s="204">
        <f>Metrika!AM23/Metrika!AM22</f>
        <v>0.8214285714</v>
      </c>
      <c r="AN22" s="204">
        <f>Metrika!AN23/Metrika!AN22</f>
        <v>0.7857142857</v>
      </c>
      <c r="AO22" s="204">
        <f>Metrika!AO23/Metrika!AO22</f>
        <v>0.7142857143</v>
      </c>
      <c r="AP22" s="201">
        <f>Metrika!AP23/Metrika!AP22</f>
        <v>0.8229166667</v>
      </c>
      <c r="AQ22" s="202">
        <f>Metrika!AQ23/Metrika!AQ22</f>
        <v>0.7291666667</v>
      </c>
      <c r="AR22" s="203">
        <f>Metrika!AR23/Metrika!AR22</f>
        <v>0.7678571429</v>
      </c>
      <c r="AS22" s="204">
        <f>Metrika!AS23/Metrika!AS22</f>
        <v>0.75</v>
      </c>
      <c r="AT22" s="204">
        <f>Metrika!AT23/Metrika!AT22</f>
        <v>0.8214285714</v>
      </c>
      <c r="AU22" s="204">
        <f>Metrika!AU23/Metrika!AU22</f>
        <v>0.7857142857</v>
      </c>
      <c r="AV22" s="204">
        <f>Metrika!AV23/Metrika!AV22</f>
        <v>0.7142857143</v>
      </c>
      <c r="AW22" s="203">
        <f>Metrika!AW23/Metrika!AW22</f>
        <v>0.75</v>
      </c>
      <c r="AX22" s="204">
        <f>Metrika!AX23/Metrika!AX22</f>
        <v>0.6428571429</v>
      </c>
      <c r="AY22" s="204">
        <f>Metrika!AY23/Metrika!AY22</f>
        <v>0.7142857143</v>
      </c>
      <c r="AZ22" s="204">
        <f>Metrika!AZ23/Metrika!AZ22</f>
        <v>0.75</v>
      </c>
      <c r="BA22" s="204">
        <f>Metrika!BA23/Metrika!BA22</f>
        <v>0.8928571429</v>
      </c>
      <c r="BB22" s="203">
        <f>Metrika!BB23/Metrika!BB22</f>
        <v>0.6696428571</v>
      </c>
      <c r="BC22" s="204">
        <f>Metrika!BC23/Metrika!BC22</f>
        <v>0.7142857143</v>
      </c>
      <c r="BD22" s="204">
        <f>Metrika!BD23/Metrika!BD22</f>
        <v>0.6428571429</v>
      </c>
      <c r="BE22" s="204">
        <f>Metrika!BE23/Metrika!BE22</f>
        <v>0.6071428571</v>
      </c>
      <c r="BF22" s="204">
        <f>Metrika!BF23/Metrika!BF22</f>
        <v>0.7142857143</v>
      </c>
      <c r="BG22" s="202">
        <f>Metrika!BG23/Metrika!BG22</f>
        <v>0.9166666667</v>
      </c>
      <c r="BH22" s="203">
        <f>Metrika!BH23/Metrika!BH22</f>
        <v>0.9375</v>
      </c>
      <c r="BI22" s="204">
        <f>Metrika!BI23/Metrika!BI22</f>
        <v>0.8571428571</v>
      </c>
      <c r="BJ22" s="204">
        <f>Metrika!BJ23/Metrika!BJ22</f>
        <v>0.9285714286</v>
      </c>
      <c r="BK22" s="204">
        <f>Metrika!BK23/Metrika!BK22</f>
        <v>0.9642857143</v>
      </c>
      <c r="BL22" s="204">
        <f>Metrika!BL23/Metrika!BL22</f>
        <v>1</v>
      </c>
      <c r="BM22" s="203">
        <f>Metrika!BM23/Metrika!BM22</f>
        <v>0.9464285714</v>
      </c>
      <c r="BN22" s="204">
        <f>Metrika!BN23/Metrika!BN22</f>
        <v>1</v>
      </c>
      <c r="BO22" s="204">
        <f>Metrika!BO23/Metrika!BO22</f>
        <v>0.9642857143</v>
      </c>
      <c r="BP22" s="204">
        <f>Metrika!BP23/Metrika!BP22</f>
        <v>0.8928571429</v>
      </c>
      <c r="BQ22" s="204">
        <f>Metrika!BQ23/Metrika!BQ22</f>
        <v>0.9285714286</v>
      </c>
      <c r="BR22" s="203">
        <f>Metrika!BR23/Metrika!BR22</f>
        <v>0.8660714286</v>
      </c>
      <c r="BS22" s="204">
        <f>Metrika!BS23/Metrika!BS22</f>
        <v>0.7857142857</v>
      </c>
      <c r="BT22" s="204">
        <f>Metrika!BT23/Metrika!BT22</f>
        <v>0.8571428571</v>
      </c>
      <c r="BU22" s="204">
        <f>Metrika!BU23/Metrika!BU22</f>
        <v>0.8928571429</v>
      </c>
      <c r="BV22" s="204">
        <f>Metrika!BV23/Metrika!BV22</f>
        <v>0.9285714286</v>
      </c>
      <c r="BW22" s="200">
        <f>Metrika!BW23/Metrika!BW22</f>
        <v>0.8229166667</v>
      </c>
      <c r="BX22" s="201">
        <f>Metrika!BX23/Metrika!BX22</f>
        <v>0.8229166667</v>
      </c>
      <c r="BY22" s="202">
        <f>Metrika!BY23/Metrika!BY22</f>
        <v>0.7291666667</v>
      </c>
      <c r="BZ22" s="203">
        <f>Metrika!BZ23/Metrika!BZ22</f>
        <v>0.6696428571</v>
      </c>
      <c r="CA22" s="204">
        <f>Metrika!CA23/Metrika!CA22</f>
        <v>0.7142857143</v>
      </c>
      <c r="CB22" s="204">
        <f>Metrika!CB23/Metrika!CB22</f>
        <v>0.6428571429</v>
      </c>
      <c r="CC22" s="204">
        <f>Metrika!CC23/Metrika!CC22</f>
        <v>0.6071428571</v>
      </c>
      <c r="CD22" s="204">
        <f>Metrika!CD23/Metrika!CD22</f>
        <v>0.7142857143</v>
      </c>
      <c r="CE22" s="203">
        <f>Metrika!CE23/Metrika!CE22</f>
        <v>0.7678571429</v>
      </c>
      <c r="CF22" s="204">
        <f>Metrika!CF23/Metrika!CF22</f>
        <v>0.75</v>
      </c>
      <c r="CG22" s="204">
        <f>Metrika!CG23/Metrika!CG22</f>
        <v>0.8214285714</v>
      </c>
      <c r="CH22" s="204">
        <f>Metrika!CH23/Metrika!CH22</f>
        <v>0.7857142857</v>
      </c>
      <c r="CI22" s="204">
        <f>Metrika!CI23/Metrika!CI22</f>
        <v>0.7142857143</v>
      </c>
      <c r="CJ22" s="203">
        <f>Metrika!CJ23/Metrika!CJ22</f>
        <v>0.75</v>
      </c>
      <c r="CK22" s="204">
        <f>Metrika!CK23/Metrika!CK22</f>
        <v>0.6428571429</v>
      </c>
      <c r="CL22" s="204">
        <f>Metrika!CL23/Metrika!CL22</f>
        <v>0.7142857143</v>
      </c>
      <c r="CM22" s="204">
        <f>Metrika!CM23/Metrika!CM22</f>
        <v>0.75</v>
      </c>
      <c r="CN22" s="204">
        <f>Metrika!CN23/Metrika!CN22</f>
        <v>0.8928571429</v>
      </c>
      <c r="CO22" s="202">
        <f>Metrika!CO23/Metrika!CO22</f>
        <v>0.9166666667</v>
      </c>
      <c r="CP22" s="203">
        <f>Metrika!CP23/Metrika!CP22</f>
        <v>0.8660714286</v>
      </c>
      <c r="CQ22" s="204">
        <f>Metrika!CQ23/Metrika!CQ22</f>
        <v>0.7857142857</v>
      </c>
      <c r="CR22" s="204">
        <f>Metrika!CR23/Metrika!CR22</f>
        <v>0.8571428571</v>
      </c>
      <c r="CS22" s="204">
        <f>Metrika!CS23/Metrika!CS22</f>
        <v>0.8928571429</v>
      </c>
      <c r="CT22" s="204">
        <f>Metrika!CT23/Metrika!CT22</f>
        <v>0.9285714286</v>
      </c>
      <c r="CU22" s="203">
        <f>Metrika!CU23/Metrika!CU22</f>
        <v>0.9375</v>
      </c>
      <c r="CV22" s="204">
        <f>Metrika!CV23/Metrika!CV22</f>
        <v>0.8571428571</v>
      </c>
      <c r="CW22" s="204">
        <f>Metrika!CW23/Metrika!CW22</f>
        <v>0.9285714286</v>
      </c>
      <c r="CX22" s="204">
        <f>Metrika!CX23/Metrika!CX22</f>
        <v>0.9642857143</v>
      </c>
      <c r="CY22" s="204">
        <f>Metrika!CY23/Metrika!CY22</f>
        <v>1</v>
      </c>
      <c r="CZ22" s="203">
        <f>Metrika!CZ23/Metrika!CZ22</f>
        <v>0.9464285714</v>
      </c>
      <c r="DA22" s="204">
        <f>Metrika!DA23/Metrika!DA22</f>
        <v>1</v>
      </c>
      <c r="DB22" s="204">
        <f>Metrika!DB23/Metrika!DB22</f>
        <v>0.9642857143</v>
      </c>
      <c r="DC22" s="204">
        <f>Metrika!DC23/Metrika!DC22</f>
        <v>0.8928571429</v>
      </c>
      <c r="DD22" s="204">
        <f>Metrika!DD23/Metrika!DD22</f>
        <v>0.9285714286</v>
      </c>
      <c r="DE22" s="201">
        <f>Metrika!DE23/Metrika!DE22</f>
        <v>0.8229166667</v>
      </c>
      <c r="DF22" s="202">
        <f>Metrika!DF23/Metrika!DF22</f>
        <v>0.9166666667</v>
      </c>
      <c r="DG22" s="203">
        <f>Metrika!DG23/Metrika!DG22</f>
        <v>0.9464285714</v>
      </c>
      <c r="DH22" s="204">
        <f>Metrika!DH23/Metrika!DH22</f>
        <v>1</v>
      </c>
      <c r="DI22" s="204">
        <f>Metrika!DI23/Metrika!DI22</f>
        <v>0.9642857143</v>
      </c>
      <c r="DJ22" s="204">
        <f>Metrika!DJ23/Metrika!DJ22</f>
        <v>0.8928571429</v>
      </c>
      <c r="DK22" s="204">
        <f>Metrika!DK23/Metrika!DK22</f>
        <v>0.9285714286</v>
      </c>
      <c r="DL22" s="203">
        <f>Metrika!DL23/Metrika!DL22</f>
        <v>0.8660714286</v>
      </c>
      <c r="DM22" s="204">
        <f>Metrika!DM23/Metrika!DM22</f>
        <v>0.7857142857</v>
      </c>
      <c r="DN22" s="204">
        <f>Metrika!DN23/Metrika!DN22</f>
        <v>0.8571428571</v>
      </c>
      <c r="DO22" s="204">
        <f>Metrika!DO23/Metrika!DO22</f>
        <v>0.8928571429</v>
      </c>
      <c r="DP22" s="204">
        <f>Metrika!DP23/Metrika!DP22</f>
        <v>0.9285714286</v>
      </c>
      <c r="DQ22" s="203">
        <f>Metrika!DQ23/Metrika!DQ22</f>
        <v>0.9375</v>
      </c>
      <c r="DR22" s="204">
        <f>Metrika!DR23/Metrika!DR22</f>
        <v>0.8571428571</v>
      </c>
      <c r="DS22" s="204">
        <f>Metrika!DS23/Metrika!DS22</f>
        <v>0.9285714286</v>
      </c>
      <c r="DT22" s="204">
        <f>Metrika!DT23/Metrika!DT22</f>
        <v>0.9642857143</v>
      </c>
      <c r="DU22" s="204">
        <f>Metrika!DU23/Metrika!DU22</f>
        <v>1</v>
      </c>
      <c r="DV22" s="202">
        <f>Metrika!DV23/Metrika!DV22</f>
        <v>0.7291666667</v>
      </c>
      <c r="DW22" s="203">
        <f>Metrika!DW23/Metrika!DW22</f>
        <v>0.7678571429</v>
      </c>
      <c r="DX22" s="204">
        <f>Metrika!DX23/Metrika!DX22</f>
        <v>0.75</v>
      </c>
      <c r="DY22" s="204">
        <f>Metrika!DY23/Metrika!DY22</f>
        <v>0.8214285714</v>
      </c>
      <c r="DZ22" s="204">
        <f>Metrika!DZ23/Metrika!DZ22</f>
        <v>0.7857142857</v>
      </c>
      <c r="EA22" s="204">
        <f>Metrika!EA23/Metrika!EA22</f>
        <v>0.7142857143</v>
      </c>
      <c r="EB22" s="203">
        <f>Metrika!EB23/Metrika!EB22</f>
        <v>0.6696428571</v>
      </c>
      <c r="EC22" s="204">
        <f>Metrika!EC23/Metrika!EC22</f>
        <v>0.7142857143</v>
      </c>
      <c r="ED22" s="204">
        <f>Metrika!ED23/Metrika!ED22</f>
        <v>0.6428571429</v>
      </c>
      <c r="EE22" s="204">
        <f>Metrika!EE23/Metrika!EE22</f>
        <v>0.6071428571</v>
      </c>
      <c r="EF22" s="204">
        <f>Metrika!EF23/Metrika!EF22</f>
        <v>0.7142857143</v>
      </c>
      <c r="EG22" s="203">
        <f>Metrika!EG23/Metrika!EG22</f>
        <v>0.75</v>
      </c>
      <c r="EH22" s="204">
        <f>Metrika!EH23/Metrika!EH22</f>
        <v>0.6428571429</v>
      </c>
      <c r="EI22" s="204">
        <f>Metrika!EI23/Metrika!EI22</f>
        <v>0.7142857143</v>
      </c>
      <c r="EJ22" s="204">
        <f>Metrika!EJ23/Metrika!EJ22</f>
        <v>0.75</v>
      </c>
      <c r="EK22" s="204">
        <f>Metrika!EK23/Metrika!EK22</f>
        <v>0.8928571429</v>
      </c>
      <c r="EL22" s="200">
        <f>Metrika!EL23/Metrika!EL22</f>
        <v>0.8229166667</v>
      </c>
      <c r="EM22" s="201">
        <f>Metrika!EM23/Metrika!EM22</f>
        <v>0.8229166667</v>
      </c>
      <c r="EN22" s="202">
        <f>Metrika!EN23/Metrika!EN22</f>
        <v>0.7291666667</v>
      </c>
      <c r="EO22" s="203">
        <f>Metrika!EO23/Metrika!EO22</f>
        <v>0.6696428571</v>
      </c>
      <c r="EP22" s="204">
        <f>Metrika!EP23/Metrika!EP22</f>
        <v>0.7142857143</v>
      </c>
      <c r="EQ22" s="204">
        <f>Metrika!EQ23/Metrika!EQ22</f>
        <v>0.6428571429</v>
      </c>
      <c r="ER22" s="204">
        <f>Metrika!ER23/Metrika!ER22</f>
        <v>0.6071428571</v>
      </c>
      <c r="ES22" s="204">
        <f>Metrika!ES23/Metrika!ES22</f>
        <v>0.7142857143</v>
      </c>
      <c r="ET22" s="203">
        <f>Metrika!ET23/Metrika!ET22</f>
        <v>0.75</v>
      </c>
      <c r="EU22" s="204">
        <f>Metrika!EU23/Metrika!EU22</f>
        <v>0.6428571429</v>
      </c>
      <c r="EV22" s="204">
        <f>Metrika!EV23/Metrika!EV22</f>
        <v>0.7142857143</v>
      </c>
      <c r="EW22" s="204">
        <f>Metrika!EW23/Metrika!EW22</f>
        <v>0.75</v>
      </c>
      <c r="EX22" s="204">
        <f>Metrika!EX23/Metrika!EX22</f>
        <v>0.8928571429</v>
      </c>
      <c r="EY22" s="203">
        <f>Metrika!EY23/Metrika!EY22</f>
        <v>0.7678571429</v>
      </c>
      <c r="EZ22" s="204">
        <f>Metrika!EZ23/Metrika!EZ22</f>
        <v>0.75</v>
      </c>
      <c r="FA22" s="204">
        <f>Metrika!FA23/Metrika!FA22</f>
        <v>0.8214285714</v>
      </c>
      <c r="FB22" s="204">
        <f>Metrika!FB23/Metrika!FB22</f>
        <v>0.7857142857</v>
      </c>
      <c r="FC22" s="204">
        <f>Metrika!FC23/Metrika!FC22</f>
        <v>0.7142857143</v>
      </c>
      <c r="FD22" s="202">
        <f>Metrika!FD23/Metrika!FD22</f>
        <v>0.9166666667</v>
      </c>
      <c r="FE22" s="203">
        <f>Metrika!FE23/Metrika!FE22</f>
        <v>0.8660714286</v>
      </c>
      <c r="FF22" s="204">
        <f>Metrika!FF23/Metrika!FF22</f>
        <v>0.7857142857</v>
      </c>
      <c r="FG22" s="204">
        <f>Metrika!FG23/Metrika!FG22</f>
        <v>0.8571428571</v>
      </c>
      <c r="FH22" s="204">
        <f>Metrika!FH23/Metrika!FH22</f>
        <v>0.8928571429</v>
      </c>
      <c r="FI22" s="204">
        <f>Metrika!FI23/Metrika!FI22</f>
        <v>0.9285714286</v>
      </c>
      <c r="FJ22" s="203">
        <f>Metrika!FJ23/Metrika!FJ22</f>
        <v>0.9375</v>
      </c>
      <c r="FK22" s="204">
        <f>Metrika!FK23/Metrika!FK22</f>
        <v>0.8571428571</v>
      </c>
      <c r="FL22" s="204">
        <f>Metrika!FL23/Metrika!FL22</f>
        <v>0.9285714286</v>
      </c>
      <c r="FM22" s="204">
        <f>Metrika!FM23/Metrika!FM22</f>
        <v>0.9642857143</v>
      </c>
      <c r="FN22" s="204">
        <f>Metrika!FN23/Metrika!FN22</f>
        <v>1</v>
      </c>
      <c r="FO22" s="203">
        <f>Metrika!FO23/Metrika!FO22</f>
        <v>0.9464285714</v>
      </c>
      <c r="FP22" s="204">
        <f>Metrika!FP23/Metrika!FP22</f>
        <v>1</v>
      </c>
      <c r="FQ22" s="204">
        <f>Metrika!FQ23/Metrika!FQ22</f>
        <v>0.9642857143</v>
      </c>
      <c r="FR22" s="204">
        <f>Metrika!FR23/Metrika!FR22</f>
        <v>0.8928571429</v>
      </c>
      <c r="FS22" s="204">
        <f>Metrika!FS23/Metrika!FS22</f>
        <v>0.9285714286</v>
      </c>
      <c r="FT22" s="201">
        <f>Metrika!FT23/Metrika!FT22</f>
        <v>0.8229166667</v>
      </c>
      <c r="FU22" s="202">
        <f>Metrika!FU23/Metrika!FU22</f>
        <v>0.9166666667</v>
      </c>
      <c r="FV22" s="203">
        <f>Metrika!FV23/Metrika!FV22</f>
        <v>0.9464285714</v>
      </c>
      <c r="FW22" s="204">
        <f>Metrika!FW23/Metrika!FW22</f>
        <v>1</v>
      </c>
      <c r="FX22" s="204">
        <f>Metrika!FX23/Metrika!FX22</f>
        <v>0.9642857143</v>
      </c>
      <c r="FY22" s="204">
        <f>Metrika!FY23/Metrika!FY22</f>
        <v>0.8928571429</v>
      </c>
      <c r="FZ22" s="204">
        <f>Metrika!FZ23/Metrika!FZ22</f>
        <v>0.9285714286</v>
      </c>
      <c r="GA22" s="203">
        <f>Metrika!GA23/Metrika!GA22</f>
        <v>0.8660714286</v>
      </c>
      <c r="GB22" s="204">
        <f>Metrika!GB23/Metrika!GB22</f>
        <v>0.7857142857</v>
      </c>
      <c r="GC22" s="204">
        <f>Metrika!GC23/Metrika!GC22</f>
        <v>0.8571428571</v>
      </c>
      <c r="GD22" s="204">
        <f>Metrika!GD23/Metrika!GD22</f>
        <v>0.8928571429</v>
      </c>
      <c r="GE22" s="204">
        <f>Metrika!GE23/Metrika!GE22</f>
        <v>0.9285714286</v>
      </c>
      <c r="GF22" s="203">
        <f>Metrika!GF23/Metrika!GF22</f>
        <v>0.9375</v>
      </c>
      <c r="GG22" s="204">
        <f>Metrika!GG23/Metrika!GG22</f>
        <v>0.8571428571</v>
      </c>
      <c r="GH22" s="204">
        <f>Metrika!GH23/Metrika!GH22</f>
        <v>0.9285714286</v>
      </c>
      <c r="GI22" s="204">
        <f>Metrika!GI23/Metrika!GI22</f>
        <v>0.9642857143</v>
      </c>
      <c r="GJ22" s="204">
        <f>Metrika!GJ23/Metrika!GJ22</f>
        <v>1</v>
      </c>
      <c r="GK22" s="202">
        <f>Metrika!GK23/Metrika!GK22</f>
        <v>0.7291666667</v>
      </c>
      <c r="GL22" s="203">
        <f>Metrika!GL23/Metrika!GL22</f>
        <v>0.75</v>
      </c>
      <c r="GM22" s="204">
        <f>Metrika!GM23/Metrika!GM22</f>
        <v>0.6428571429</v>
      </c>
      <c r="GN22" s="204">
        <f>Metrika!GN23/Metrika!GN22</f>
        <v>0.7142857143</v>
      </c>
      <c r="GO22" s="204">
        <f>Metrika!GO23/Metrika!GO22</f>
        <v>0.75</v>
      </c>
      <c r="GP22" s="204">
        <f>Metrika!GP23/Metrika!GP22</f>
        <v>0.8928571429</v>
      </c>
      <c r="GQ22" s="203">
        <f>Metrika!GQ23/Metrika!GQ22</f>
        <v>0.6696428571</v>
      </c>
      <c r="GR22" s="204">
        <f>Metrika!GR23/Metrika!GR22</f>
        <v>0.7142857143</v>
      </c>
      <c r="GS22" s="204">
        <f>Metrika!GS23/Metrika!GS22</f>
        <v>0.6428571429</v>
      </c>
      <c r="GT22" s="204">
        <f>Metrika!GT23/Metrika!GT22</f>
        <v>0.6071428571</v>
      </c>
      <c r="GU22" s="204">
        <f>Metrika!GU23/Metrika!GU22</f>
        <v>0.7142857143</v>
      </c>
      <c r="GV22" s="203">
        <f>Metrika!GV23/Metrika!GV22</f>
        <v>0.7678571429</v>
      </c>
      <c r="GW22" s="204">
        <f>Metrika!GW23/Metrika!GW22</f>
        <v>0.75</v>
      </c>
      <c r="GX22" s="204">
        <f>Metrika!GX23/Metrika!GX22</f>
        <v>0.8214285714</v>
      </c>
      <c r="GY22" s="204">
        <f>Metrika!GY23/Metrika!GY22</f>
        <v>0.7857142857</v>
      </c>
      <c r="GZ22" s="204">
        <f>Metrika!GZ23/Metrika!GZ22</f>
        <v>0.7142857143</v>
      </c>
      <c r="HA22" s="198"/>
    </row>
    <row r="23" ht="15.75" customHeight="1">
      <c r="A23" s="195"/>
      <c r="B23" s="82"/>
      <c r="C23" s="78"/>
      <c r="D23" s="78"/>
      <c r="E23" s="80" t="s">
        <v>26</v>
      </c>
      <c r="F23" s="198"/>
      <c r="G23" s="78"/>
      <c r="H23" s="78"/>
      <c r="I23" s="78"/>
      <c r="J23" s="78"/>
      <c r="K23" s="78"/>
      <c r="L23" s="78"/>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78"/>
      <c r="AU23" s="78"/>
      <c r="AV23" s="78"/>
      <c r="AW23" s="78"/>
      <c r="AX23" s="78"/>
      <c r="AY23" s="78"/>
      <c r="AZ23" s="78"/>
      <c r="BA23" s="78"/>
      <c r="BB23" s="78"/>
      <c r="BC23" s="78"/>
      <c r="BD23" s="78"/>
      <c r="BE23" s="78"/>
      <c r="BF23" s="78"/>
      <c r="BG23" s="78"/>
      <c r="BH23" s="78"/>
      <c r="BI23" s="78"/>
      <c r="BJ23" s="78"/>
      <c r="BK23" s="78"/>
      <c r="BL23" s="78"/>
      <c r="BM23" s="78"/>
      <c r="BN23" s="78"/>
      <c r="BO23" s="78"/>
      <c r="BP23" s="78"/>
      <c r="BQ23" s="78"/>
      <c r="BR23" s="78"/>
      <c r="BS23" s="78"/>
      <c r="BT23" s="78"/>
      <c r="BU23" s="78"/>
      <c r="BV23" s="78"/>
      <c r="BW23" s="78"/>
      <c r="BX23" s="78"/>
      <c r="BY23" s="78"/>
      <c r="BZ23" s="78"/>
      <c r="CA23" s="78"/>
      <c r="CB23" s="78"/>
      <c r="CC23" s="78"/>
      <c r="CD23" s="78"/>
      <c r="CE23" s="78"/>
      <c r="CF23" s="78"/>
      <c r="CG23" s="78"/>
      <c r="CH23" s="78"/>
      <c r="CI23" s="78"/>
      <c r="CJ23" s="78"/>
      <c r="CK23" s="78"/>
      <c r="CL23" s="78"/>
      <c r="CM23" s="78"/>
      <c r="CN23" s="78"/>
      <c r="CO23" s="78"/>
      <c r="CP23" s="78"/>
      <c r="CQ23" s="78"/>
      <c r="CR23" s="78"/>
      <c r="CS23" s="78"/>
      <c r="CT23" s="78"/>
      <c r="CU23" s="78"/>
      <c r="CV23" s="78"/>
      <c r="CW23" s="78"/>
      <c r="CX23" s="78"/>
      <c r="CY23" s="78"/>
      <c r="CZ23" s="78"/>
      <c r="DA23" s="78"/>
      <c r="DB23" s="78"/>
      <c r="DC23" s="78"/>
      <c r="DD23" s="78"/>
      <c r="DE23" s="78"/>
      <c r="DF23" s="78"/>
      <c r="DG23" s="78"/>
      <c r="DH23" s="78"/>
      <c r="DI23" s="78"/>
      <c r="DJ23" s="78"/>
      <c r="DK23" s="78"/>
      <c r="DL23" s="78"/>
      <c r="DM23" s="78"/>
      <c r="DN23" s="78"/>
      <c r="DO23" s="78"/>
      <c r="DP23" s="78"/>
      <c r="DQ23" s="78"/>
      <c r="DR23" s="78"/>
      <c r="DS23" s="78"/>
      <c r="DT23" s="78"/>
      <c r="DU23" s="78"/>
      <c r="DV23" s="78"/>
      <c r="DW23" s="78"/>
      <c r="DX23" s="78"/>
      <c r="DY23" s="78"/>
      <c r="DZ23" s="78"/>
      <c r="EA23" s="78"/>
      <c r="EB23" s="78"/>
      <c r="EC23" s="78"/>
      <c r="ED23" s="78"/>
      <c r="EE23" s="78"/>
      <c r="EF23" s="78"/>
      <c r="EG23" s="78"/>
      <c r="EH23" s="78"/>
      <c r="EI23" s="78"/>
      <c r="EJ23" s="78"/>
      <c r="EK23" s="78"/>
      <c r="EL23" s="78"/>
      <c r="EM23" s="78"/>
      <c r="EN23" s="78"/>
      <c r="EO23" s="78"/>
      <c r="EP23" s="78"/>
      <c r="EQ23" s="78"/>
      <c r="ER23" s="78"/>
      <c r="ES23" s="78"/>
      <c r="ET23" s="78"/>
      <c r="EU23" s="78"/>
      <c r="EV23" s="78"/>
      <c r="EW23" s="78"/>
      <c r="EX23" s="78"/>
      <c r="EY23" s="78"/>
      <c r="EZ23" s="78"/>
      <c r="FA23" s="78"/>
      <c r="FB23" s="78"/>
      <c r="FC23" s="78"/>
      <c r="FD23" s="78"/>
      <c r="FE23" s="78"/>
      <c r="FF23" s="78"/>
      <c r="FG23" s="78"/>
      <c r="FH23" s="78"/>
      <c r="FI23" s="78"/>
      <c r="FJ23" s="78"/>
      <c r="FK23" s="78"/>
      <c r="FL23" s="78"/>
      <c r="FM23" s="78"/>
      <c r="FN23" s="78"/>
      <c r="FO23" s="78"/>
      <c r="FP23" s="78"/>
      <c r="FQ23" s="78"/>
      <c r="FR23" s="78"/>
      <c r="FS23" s="78"/>
      <c r="FT23" s="78"/>
      <c r="FU23" s="78"/>
      <c r="FV23" s="78"/>
      <c r="FW23" s="78"/>
      <c r="FX23" s="78"/>
      <c r="FY23" s="78"/>
      <c r="FZ23" s="78"/>
      <c r="GA23" s="78"/>
      <c r="GB23" s="78"/>
      <c r="GC23" s="78"/>
      <c r="GD23" s="78"/>
      <c r="GE23" s="78"/>
      <c r="GF23" s="78"/>
      <c r="GG23" s="78"/>
      <c r="GH23" s="78"/>
      <c r="GI23" s="78"/>
      <c r="GJ23" s="78"/>
      <c r="GK23" s="78"/>
      <c r="GL23" s="78"/>
      <c r="GM23" s="78"/>
      <c r="GN23" s="78"/>
      <c r="GO23" s="78"/>
      <c r="GP23" s="78"/>
      <c r="GQ23" s="78"/>
      <c r="GR23" s="78"/>
      <c r="GS23" s="78"/>
      <c r="GT23" s="78"/>
      <c r="GU23" s="78"/>
      <c r="GV23" s="78"/>
      <c r="GW23" s="78"/>
      <c r="GX23" s="78"/>
      <c r="GY23" s="78"/>
      <c r="GZ23" s="78"/>
      <c r="HA23" s="198"/>
    </row>
    <row r="24" ht="15.75" customHeight="1">
      <c r="A24" s="195"/>
      <c r="B24" s="82"/>
      <c r="C24" s="87">
        <v>3.0</v>
      </c>
      <c r="D24" s="102" t="s">
        <v>74</v>
      </c>
      <c r="E24" s="80" t="s">
        <v>19</v>
      </c>
      <c r="F24" s="198"/>
      <c r="G24" s="199">
        <f>Metrika!G25/Metrika!G24</f>
        <v>0.7767857143</v>
      </c>
      <c r="H24" s="200">
        <f>Metrika!H25/Metrika!H24</f>
        <v>0.7767857143</v>
      </c>
      <c r="I24" s="201">
        <f>Metrika!I25/Metrika!I24</f>
        <v>0.7767857143</v>
      </c>
      <c r="J24" s="202">
        <f>Metrika!J25/Metrika!J24</f>
        <v>0.8333333333</v>
      </c>
      <c r="K24" s="203">
        <f>Metrika!K25/Metrika!K24</f>
        <v>0.875</v>
      </c>
      <c r="L24" s="204">
        <f>Metrika!L25/Metrika!L24</f>
        <v>0.7142857143</v>
      </c>
      <c r="M24" s="204">
        <f>Metrika!M25/Metrika!M24</f>
        <v>0.8571428571</v>
      </c>
      <c r="N24" s="204">
        <f>Metrika!N25/Metrika!N24</f>
        <v>0.9285714286</v>
      </c>
      <c r="O24" s="204">
        <f>Metrika!O25/Metrika!O24</f>
        <v>1</v>
      </c>
      <c r="P24" s="203">
        <f>Metrika!P25/Metrika!P24</f>
        <v>0.6607142857</v>
      </c>
      <c r="Q24" s="204">
        <f>Metrika!Q25/Metrika!Q24</f>
        <v>0.7142857143</v>
      </c>
      <c r="R24" s="204">
        <f>Metrika!R25/Metrika!R24</f>
        <v>0.6428571429</v>
      </c>
      <c r="S24" s="204">
        <f>Metrika!S25/Metrika!S24</f>
        <v>0.5714285714</v>
      </c>
      <c r="T24" s="204">
        <f>Metrika!T25/Metrika!T24</f>
        <v>0.7142857143</v>
      </c>
      <c r="U24" s="203">
        <f>Metrika!U25/Metrika!U24</f>
        <v>0.9642857143</v>
      </c>
      <c r="V24" s="204">
        <f>Metrika!V25/Metrika!V24</f>
        <v>0.8571428571</v>
      </c>
      <c r="W24" s="204">
        <f>Metrika!W25/Metrika!W24</f>
        <v>0.9285714286</v>
      </c>
      <c r="X24" s="204">
        <f>Metrika!X25/Metrika!X24</f>
        <v>1</v>
      </c>
      <c r="Y24" s="204">
        <f>Metrika!Y25/Metrika!Y24</f>
        <v>1.071428571</v>
      </c>
      <c r="Z24" s="202">
        <f>Metrika!Z25/Metrika!Z24</f>
        <v>0.7202380952</v>
      </c>
      <c r="AA24" s="203">
        <f>Metrika!AA25/Metrika!AA24</f>
        <v>0.6964285714</v>
      </c>
      <c r="AB24" s="204">
        <f>Metrika!AB25/Metrika!AB24</f>
        <v>0.6428571429</v>
      </c>
      <c r="AC24" s="204">
        <f>Metrika!AC25/Metrika!AC24</f>
        <v>0.5714285714</v>
      </c>
      <c r="AD24" s="204">
        <f>Metrika!AD25/Metrika!AD24</f>
        <v>0.7142857143</v>
      </c>
      <c r="AE24" s="204">
        <f>Metrika!AE25/Metrika!AE24</f>
        <v>0.8571428571</v>
      </c>
      <c r="AF24" s="203">
        <f>Metrika!AF25/Metrika!AF24</f>
        <v>0.7678571429</v>
      </c>
      <c r="AG24" s="204">
        <f>Metrika!AG25/Metrika!AG24</f>
        <v>0.7857142857</v>
      </c>
      <c r="AH24" s="204">
        <f>Metrika!AH25/Metrika!AH24</f>
        <v>0.9285714286</v>
      </c>
      <c r="AI24" s="204">
        <f>Metrika!AI25/Metrika!AI24</f>
        <v>0.6428571429</v>
      </c>
      <c r="AJ24" s="204">
        <f>Metrika!AJ25/Metrika!AJ24</f>
        <v>0.7142857143</v>
      </c>
      <c r="AK24" s="203">
        <f>Metrika!AK25/Metrika!AK24</f>
        <v>0.6964285714</v>
      </c>
      <c r="AL24" s="204">
        <f>Metrika!AL25/Metrika!AL24</f>
        <v>0.7142857143</v>
      </c>
      <c r="AM24" s="204">
        <f>Metrika!AM25/Metrika!AM24</f>
        <v>0.6428571429</v>
      </c>
      <c r="AN24" s="204">
        <f>Metrika!AN25/Metrika!AN24</f>
        <v>0.5714285714</v>
      </c>
      <c r="AO24" s="204">
        <f>Metrika!AO25/Metrika!AO24</f>
        <v>0.8571428571</v>
      </c>
      <c r="AP24" s="201">
        <f>Metrika!AP25/Metrika!AP24</f>
        <v>0.7767857143</v>
      </c>
      <c r="AQ24" s="202">
        <f>Metrika!AQ25/Metrika!AQ24</f>
        <v>0.7202380952</v>
      </c>
      <c r="AR24" s="203">
        <f>Metrika!AR25/Metrika!AR24</f>
        <v>0.6964285714</v>
      </c>
      <c r="AS24" s="204">
        <f>Metrika!AS25/Metrika!AS24</f>
        <v>0.7142857143</v>
      </c>
      <c r="AT24" s="204">
        <f>Metrika!AT25/Metrika!AT24</f>
        <v>0.6428571429</v>
      </c>
      <c r="AU24" s="204">
        <f>Metrika!AU25/Metrika!AU24</f>
        <v>0.5714285714</v>
      </c>
      <c r="AV24" s="204">
        <f>Metrika!AV25/Metrika!AV24</f>
        <v>0.8571428571</v>
      </c>
      <c r="AW24" s="203">
        <f>Metrika!AW25/Metrika!AW24</f>
        <v>0.6964285714</v>
      </c>
      <c r="AX24" s="204">
        <f>Metrika!AX25/Metrika!AX24</f>
        <v>0.6428571429</v>
      </c>
      <c r="AY24" s="204">
        <f>Metrika!AY25/Metrika!AY24</f>
        <v>0.5714285714</v>
      </c>
      <c r="AZ24" s="204">
        <f>Metrika!AZ25/Metrika!AZ24</f>
        <v>0.7142857143</v>
      </c>
      <c r="BA24" s="204">
        <f>Metrika!BA25/Metrika!BA24</f>
        <v>0.8571428571</v>
      </c>
      <c r="BB24" s="203">
        <f>Metrika!BB25/Metrika!BB24</f>
        <v>0.7678571429</v>
      </c>
      <c r="BC24" s="204">
        <f>Metrika!BC25/Metrika!BC24</f>
        <v>0.7857142857</v>
      </c>
      <c r="BD24" s="204">
        <f>Metrika!BD25/Metrika!BD24</f>
        <v>0.9285714286</v>
      </c>
      <c r="BE24" s="204">
        <f>Metrika!BE25/Metrika!BE24</f>
        <v>0.6428571429</v>
      </c>
      <c r="BF24" s="204">
        <f>Metrika!BF25/Metrika!BF24</f>
        <v>0.7142857143</v>
      </c>
      <c r="BG24" s="202">
        <f>Metrika!BG25/Metrika!BG24</f>
        <v>0.8333333333</v>
      </c>
      <c r="BH24" s="203">
        <f>Metrika!BH25/Metrika!BH24</f>
        <v>0.6607142857</v>
      </c>
      <c r="BI24" s="204">
        <f>Metrika!BI25/Metrika!BI24</f>
        <v>0.7142857143</v>
      </c>
      <c r="BJ24" s="204">
        <f>Metrika!BJ25/Metrika!BJ24</f>
        <v>0.6428571429</v>
      </c>
      <c r="BK24" s="204">
        <f>Metrika!BK25/Metrika!BK24</f>
        <v>0.5714285714</v>
      </c>
      <c r="BL24" s="204">
        <f>Metrika!BL25/Metrika!BL24</f>
        <v>0.7142857143</v>
      </c>
      <c r="BM24" s="203">
        <f>Metrika!BM25/Metrika!BM24</f>
        <v>0.9642857143</v>
      </c>
      <c r="BN24" s="204">
        <f>Metrika!BN25/Metrika!BN24</f>
        <v>0.8571428571</v>
      </c>
      <c r="BO24" s="204">
        <f>Metrika!BO25/Metrika!BO24</f>
        <v>0.9285714286</v>
      </c>
      <c r="BP24" s="204">
        <f>Metrika!BP25/Metrika!BP24</f>
        <v>1</v>
      </c>
      <c r="BQ24" s="204">
        <f>Metrika!BQ25/Metrika!BQ24</f>
        <v>1.071428571</v>
      </c>
      <c r="BR24" s="203">
        <f>Metrika!BR25/Metrika!BR24</f>
        <v>0.875</v>
      </c>
      <c r="BS24" s="204">
        <f>Metrika!BS25/Metrika!BS24</f>
        <v>0.7142857143</v>
      </c>
      <c r="BT24" s="204">
        <f>Metrika!BT25/Metrika!BT24</f>
        <v>0.8571428571</v>
      </c>
      <c r="BU24" s="204">
        <f>Metrika!BU25/Metrika!BU24</f>
        <v>0.9285714286</v>
      </c>
      <c r="BV24" s="204">
        <f>Metrika!BV25/Metrika!BV24</f>
        <v>1</v>
      </c>
      <c r="BW24" s="200">
        <f>Metrika!BW25/Metrika!BW24</f>
        <v>0.7767857143</v>
      </c>
      <c r="BX24" s="201">
        <f>Metrika!BX25/Metrika!BX24</f>
        <v>0.7767857143</v>
      </c>
      <c r="BY24" s="202">
        <f>Metrika!BY25/Metrika!BY24</f>
        <v>0.7202380952</v>
      </c>
      <c r="BZ24" s="203">
        <f>Metrika!BZ25/Metrika!BZ24</f>
        <v>0.7678571429</v>
      </c>
      <c r="CA24" s="204">
        <f>Metrika!CA25/Metrika!CA24</f>
        <v>0.7857142857</v>
      </c>
      <c r="CB24" s="204">
        <f>Metrika!CB25/Metrika!CB24</f>
        <v>0.9285714286</v>
      </c>
      <c r="CC24" s="204">
        <f>Metrika!CC25/Metrika!CC24</f>
        <v>0.6428571429</v>
      </c>
      <c r="CD24" s="204">
        <f>Metrika!CD25/Metrika!CD24</f>
        <v>0.7142857143</v>
      </c>
      <c r="CE24" s="203">
        <f>Metrika!CE25/Metrika!CE24</f>
        <v>0.6964285714</v>
      </c>
      <c r="CF24" s="204">
        <f>Metrika!CF25/Metrika!CF24</f>
        <v>0.7142857143</v>
      </c>
      <c r="CG24" s="204">
        <f>Metrika!CG25/Metrika!CG24</f>
        <v>0.6428571429</v>
      </c>
      <c r="CH24" s="204">
        <f>Metrika!CH25/Metrika!CH24</f>
        <v>0.5714285714</v>
      </c>
      <c r="CI24" s="204">
        <f>Metrika!CI25/Metrika!CI24</f>
        <v>0.8571428571</v>
      </c>
      <c r="CJ24" s="203">
        <f>Metrika!CJ25/Metrika!CJ24</f>
        <v>0.6964285714</v>
      </c>
      <c r="CK24" s="204">
        <f>Metrika!CK25/Metrika!CK24</f>
        <v>0.6428571429</v>
      </c>
      <c r="CL24" s="204">
        <f>Metrika!CL25/Metrika!CL24</f>
        <v>0.5714285714</v>
      </c>
      <c r="CM24" s="204">
        <f>Metrika!CM25/Metrika!CM24</f>
        <v>0.7142857143</v>
      </c>
      <c r="CN24" s="204">
        <f>Metrika!CN25/Metrika!CN24</f>
        <v>0.8571428571</v>
      </c>
      <c r="CO24" s="202">
        <f>Metrika!CO25/Metrika!CO24</f>
        <v>0.8333333333</v>
      </c>
      <c r="CP24" s="203">
        <f>Metrika!CP25/Metrika!CP24</f>
        <v>0.875</v>
      </c>
      <c r="CQ24" s="204">
        <f>Metrika!CQ25/Metrika!CQ24</f>
        <v>0.7142857143</v>
      </c>
      <c r="CR24" s="204">
        <f>Metrika!CR25/Metrika!CR24</f>
        <v>0.8571428571</v>
      </c>
      <c r="CS24" s="204">
        <f>Metrika!CS25/Metrika!CS24</f>
        <v>0.9285714286</v>
      </c>
      <c r="CT24" s="204">
        <f>Metrika!CT25/Metrika!CT24</f>
        <v>1</v>
      </c>
      <c r="CU24" s="203">
        <f>Metrika!CU25/Metrika!CU24</f>
        <v>0.6607142857</v>
      </c>
      <c r="CV24" s="204">
        <f>Metrika!CV25/Metrika!CV24</f>
        <v>0.7142857143</v>
      </c>
      <c r="CW24" s="204">
        <f>Metrika!CW25/Metrika!CW24</f>
        <v>0.6428571429</v>
      </c>
      <c r="CX24" s="204">
        <f>Metrika!CX25/Metrika!CX24</f>
        <v>0.5714285714</v>
      </c>
      <c r="CY24" s="204">
        <f>Metrika!CY25/Metrika!CY24</f>
        <v>0.7142857143</v>
      </c>
      <c r="CZ24" s="203">
        <f>Metrika!CZ25/Metrika!CZ24</f>
        <v>0.9642857143</v>
      </c>
      <c r="DA24" s="204">
        <f>Metrika!DA25/Metrika!DA24</f>
        <v>0.8571428571</v>
      </c>
      <c r="DB24" s="204">
        <f>Metrika!DB25/Metrika!DB24</f>
        <v>0.9285714286</v>
      </c>
      <c r="DC24" s="204">
        <f>Metrika!DC25/Metrika!DC24</f>
        <v>1</v>
      </c>
      <c r="DD24" s="204">
        <f>Metrika!DD25/Metrika!DD24</f>
        <v>1.071428571</v>
      </c>
      <c r="DE24" s="201">
        <f>Metrika!DE25/Metrika!DE24</f>
        <v>0.7767857143</v>
      </c>
      <c r="DF24" s="202">
        <f>Metrika!DF25/Metrika!DF24</f>
        <v>0.8333333333</v>
      </c>
      <c r="DG24" s="203">
        <f>Metrika!DG25/Metrika!DG24</f>
        <v>0.9642857143</v>
      </c>
      <c r="DH24" s="204">
        <f>Metrika!DH25/Metrika!DH24</f>
        <v>0.8571428571</v>
      </c>
      <c r="DI24" s="204">
        <f>Metrika!DI25/Metrika!DI24</f>
        <v>0.9285714286</v>
      </c>
      <c r="DJ24" s="204">
        <f>Metrika!DJ25/Metrika!DJ24</f>
        <v>1</v>
      </c>
      <c r="DK24" s="204">
        <f>Metrika!DK25/Metrika!DK24</f>
        <v>1.071428571</v>
      </c>
      <c r="DL24" s="203">
        <f>Metrika!DL25/Metrika!DL24</f>
        <v>0.875</v>
      </c>
      <c r="DM24" s="204">
        <f>Metrika!DM25/Metrika!DM24</f>
        <v>0.7142857143</v>
      </c>
      <c r="DN24" s="204">
        <f>Metrika!DN25/Metrika!DN24</f>
        <v>0.8571428571</v>
      </c>
      <c r="DO24" s="204">
        <f>Metrika!DO25/Metrika!DO24</f>
        <v>0.9285714286</v>
      </c>
      <c r="DP24" s="204">
        <f>Metrika!DP25/Metrika!DP24</f>
        <v>1</v>
      </c>
      <c r="DQ24" s="203">
        <f>Metrika!DQ25/Metrika!DQ24</f>
        <v>0.6607142857</v>
      </c>
      <c r="DR24" s="204">
        <f>Metrika!DR25/Metrika!DR24</f>
        <v>0.7142857143</v>
      </c>
      <c r="DS24" s="204">
        <f>Metrika!DS25/Metrika!DS24</f>
        <v>0.6428571429</v>
      </c>
      <c r="DT24" s="204">
        <f>Metrika!DT25/Metrika!DT24</f>
        <v>0.5714285714</v>
      </c>
      <c r="DU24" s="204">
        <f>Metrika!DU25/Metrika!DU24</f>
        <v>0.7142857143</v>
      </c>
      <c r="DV24" s="202">
        <f>Metrika!DV25/Metrika!DV24</f>
        <v>0.7202380952</v>
      </c>
      <c r="DW24" s="203">
        <f>Metrika!DW25/Metrika!DW24</f>
        <v>0.6964285714</v>
      </c>
      <c r="DX24" s="204">
        <f>Metrika!DX25/Metrika!DX24</f>
        <v>0.7142857143</v>
      </c>
      <c r="DY24" s="204">
        <f>Metrika!DY25/Metrika!DY24</f>
        <v>0.6428571429</v>
      </c>
      <c r="DZ24" s="204">
        <f>Metrika!DZ25/Metrika!DZ24</f>
        <v>0.5714285714</v>
      </c>
      <c r="EA24" s="204">
        <f>Metrika!EA25/Metrika!EA24</f>
        <v>0.8571428571</v>
      </c>
      <c r="EB24" s="203">
        <f>Metrika!EB25/Metrika!EB24</f>
        <v>0.7678571429</v>
      </c>
      <c r="EC24" s="204">
        <f>Metrika!EC25/Metrika!EC24</f>
        <v>0.7857142857</v>
      </c>
      <c r="ED24" s="204">
        <f>Metrika!ED25/Metrika!ED24</f>
        <v>0.9285714286</v>
      </c>
      <c r="EE24" s="204">
        <f>Metrika!EE25/Metrika!EE24</f>
        <v>0.6428571429</v>
      </c>
      <c r="EF24" s="204">
        <f>Metrika!EF25/Metrika!EF24</f>
        <v>0.7142857143</v>
      </c>
      <c r="EG24" s="203">
        <f>Metrika!EG25/Metrika!EG24</f>
        <v>0.6964285714</v>
      </c>
      <c r="EH24" s="204">
        <f>Metrika!EH25/Metrika!EH24</f>
        <v>0.6428571429</v>
      </c>
      <c r="EI24" s="204">
        <f>Metrika!EI25/Metrika!EI24</f>
        <v>0.5714285714</v>
      </c>
      <c r="EJ24" s="204">
        <f>Metrika!EJ25/Metrika!EJ24</f>
        <v>0.7142857143</v>
      </c>
      <c r="EK24" s="204">
        <f>Metrika!EK25/Metrika!EK24</f>
        <v>0.8571428571</v>
      </c>
      <c r="EL24" s="200">
        <f>Metrika!EL25/Metrika!EL24</f>
        <v>0.7767857143</v>
      </c>
      <c r="EM24" s="201">
        <f>Metrika!EM25/Metrika!EM24</f>
        <v>0.7767857143</v>
      </c>
      <c r="EN24" s="202">
        <f>Metrika!EN25/Metrika!EN24</f>
        <v>0.7202380952</v>
      </c>
      <c r="EO24" s="203">
        <f>Metrika!EO25/Metrika!EO24</f>
        <v>0.7678571429</v>
      </c>
      <c r="EP24" s="204">
        <f>Metrika!EP25/Metrika!EP24</f>
        <v>0.7857142857</v>
      </c>
      <c r="EQ24" s="204">
        <f>Metrika!EQ25/Metrika!EQ24</f>
        <v>0.9285714286</v>
      </c>
      <c r="ER24" s="204">
        <f>Metrika!ER25/Metrika!ER24</f>
        <v>0.6428571429</v>
      </c>
      <c r="ES24" s="204">
        <f>Metrika!ES25/Metrika!ES24</f>
        <v>0.7142857143</v>
      </c>
      <c r="ET24" s="203">
        <f>Metrika!ET25/Metrika!ET24</f>
        <v>0.6964285714</v>
      </c>
      <c r="EU24" s="204">
        <f>Metrika!EU25/Metrika!EU24</f>
        <v>0.6428571429</v>
      </c>
      <c r="EV24" s="204">
        <f>Metrika!EV25/Metrika!EV24</f>
        <v>0.5714285714</v>
      </c>
      <c r="EW24" s="204">
        <f>Metrika!EW25/Metrika!EW24</f>
        <v>0.7142857143</v>
      </c>
      <c r="EX24" s="204">
        <f>Metrika!EX25/Metrika!EX24</f>
        <v>0.8571428571</v>
      </c>
      <c r="EY24" s="203">
        <f>Metrika!EY25/Metrika!EY24</f>
        <v>0.6964285714</v>
      </c>
      <c r="EZ24" s="204">
        <f>Metrika!EZ25/Metrika!EZ24</f>
        <v>0.7142857143</v>
      </c>
      <c r="FA24" s="204">
        <f>Metrika!FA25/Metrika!FA24</f>
        <v>0.6428571429</v>
      </c>
      <c r="FB24" s="204">
        <f>Metrika!FB25/Metrika!FB24</f>
        <v>0.5714285714</v>
      </c>
      <c r="FC24" s="204">
        <f>Metrika!FC25/Metrika!FC24</f>
        <v>0.8571428571</v>
      </c>
      <c r="FD24" s="202">
        <f>Metrika!FD25/Metrika!FD24</f>
        <v>0.8333333333</v>
      </c>
      <c r="FE24" s="203">
        <f>Metrika!FE25/Metrika!FE24</f>
        <v>0.875</v>
      </c>
      <c r="FF24" s="204">
        <f>Metrika!FF25/Metrika!FF24</f>
        <v>0.7142857143</v>
      </c>
      <c r="FG24" s="204">
        <f>Metrika!FG25/Metrika!FG24</f>
        <v>0.8571428571</v>
      </c>
      <c r="FH24" s="204">
        <f>Metrika!FH25/Metrika!FH24</f>
        <v>0.9285714286</v>
      </c>
      <c r="FI24" s="204">
        <f>Metrika!FI25/Metrika!FI24</f>
        <v>1</v>
      </c>
      <c r="FJ24" s="203">
        <f>Metrika!FJ25/Metrika!FJ24</f>
        <v>0.6607142857</v>
      </c>
      <c r="FK24" s="204">
        <f>Metrika!FK25/Metrika!FK24</f>
        <v>0.7142857143</v>
      </c>
      <c r="FL24" s="204">
        <f>Metrika!FL25/Metrika!FL24</f>
        <v>0.6428571429</v>
      </c>
      <c r="FM24" s="204">
        <f>Metrika!FM25/Metrika!FM24</f>
        <v>0.5714285714</v>
      </c>
      <c r="FN24" s="204">
        <f>Metrika!FN25/Metrika!FN24</f>
        <v>0.7142857143</v>
      </c>
      <c r="FO24" s="203">
        <f>Metrika!FO25/Metrika!FO24</f>
        <v>0.9642857143</v>
      </c>
      <c r="FP24" s="204">
        <f>Metrika!FP25/Metrika!FP24</f>
        <v>0.8571428571</v>
      </c>
      <c r="FQ24" s="204">
        <f>Metrika!FQ25/Metrika!FQ24</f>
        <v>0.9285714286</v>
      </c>
      <c r="FR24" s="204">
        <f>Metrika!FR25/Metrika!FR24</f>
        <v>1</v>
      </c>
      <c r="FS24" s="204">
        <f>Metrika!FS25/Metrika!FS24</f>
        <v>1.071428571</v>
      </c>
      <c r="FT24" s="201">
        <f>Metrika!FT25/Metrika!FT24</f>
        <v>0.7767857143</v>
      </c>
      <c r="FU24" s="202">
        <f>Metrika!FU25/Metrika!FU24</f>
        <v>0.8333333333</v>
      </c>
      <c r="FV24" s="203">
        <f>Metrika!FV25/Metrika!FV24</f>
        <v>0.9642857143</v>
      </c>
      <c r="FW24" s="204">
        <f>Metrika!FW25/Metrika!FW24</f>
        <v>0.8571428571</v>
      </c>
      <c r="FX24" s="204">
        <f>Metrika!FX25/Metrika!FX24</f>
        <v>0.9285714286</v>
      </c>
      <c r="FY24" s="204">
        <f>Metrika!FY25/Metrika!FY24</f>
        <v>1</v>
      </c>
      <c r="FZ24" s="204">
        <f>Metrika!FZ25/Metrika!FZ24</f>
        <v>1.071428571</v>
      </c>
      <c r="GA24" s="203">
        <f>Metrika!GA25/Metrika!GA24</f>
        <v>0.875</v>
      </c>
      <c r="GB24" s="204">
        <f>Metrika!GB25/Metrika!GB24</f>
        <v>0.7142857143</v>
      </c>
      <c r="GC24" s="204">
        <f>Metrika!GC25/Metrika!GC24</f>
        <v>0.8571428571</v>
      </c>
      <c r="GD24" s="204">
        <f>Metrika!GD25/Metrika!GD24</f>
        <v>0.9285714286</v>
      </c>
      <c r="GE24" s="204">
        <f>Metrika!GE25/Metrika!GE24</f>
        <v>1</v>
      </c>
      <c r="GF24" s="203">
        <f>Metrika!GF25/Metrika!GF24</f>
        <v>0.6607142857</v>
      </c>
      <c r="GG24" s="204">
        <f>Metrika!GG25/Metrika!GG24</f>
        <v>0.7142857143</v>
      </c>
      <c r="GH24" s="204">
        <f>Metrika!GH25/Metrika!GH24</f>
        <v>0.6428571429</v>
      </c>
      <c r="GI24" s="204">
        <f>Metrika!GI25/Metrika!GI24</f>
        <v>0.5714285714</v>
      </c>
      <c r="GJ24" s="204">
        <f>Metrika!GJ25/Metrika!GJ24</f>
        <v>0.7142857143</v>
      </c>
      <c r="GK24" s="202">
        <f>Metrika!GK25/Metrika!GK24</f>
        <v>0.7202380952</v>
      </c>
      <c r="GL24" s="203">
        <f>Metrika!GL25/Metrika!GL24</f>
        <v>0.6964285714</v>
      </c>
      <c r="GM24" s="204">
        <f>Metrika!GM25/Metrika!GM24</f>
        <v>0.6428571429</v>
      </c>
      <c r="GN24" s="204">
        <f>Metrika!GN25/Metrika!GN24</f>
        <v>0.5714285714</v>
      </c>
      <c r="GO24" s="204">
        <f>Metrika!GO25/Metrika!GO24</f>
        <v>0.7142857143</v>
      </c>
      <c r="GP24" s="204">
        <f>Metrika!GP25/Metrika!GP24</f>
        <v>0.8571428571</v>
      </c>
      <c r="GQ24" s="203">
        <f>Metrika!GQ25/Metrika!GQ24</f>
        <v>0.7678571429</v>
      </c>
      <c r="GR24" s="204">
        <f>Metrika!GR25/Metrika!GR24</f>
        <v>0.7857142857</v>
      </c>
      <c r="GS24" s="204">
        <f>Metrika!GS25/Metrika!GS24</f>
        <v>0.9285714286</v>
      </c>
      <c r="GT24" s="204">
        <f>Metrika!GT25/Metrika!GT24</f>
        <v>0.6428571429</v>
      </c>
      <c r="GU24" s="204">
        <f>Metrika!GU25/Metrika!GU24</f>
        <v>0.7142857143</v>
      </c>
      <c r="GV24" s="203">
        <f>Metrika!GV25/Metrika!GV24</f>
        <v>0.6964285714</v>
      </c>
      <c r="GW24" s="204">
        <f>Metrika!GW25/Metrika!GW24</f>
        <v>0.7142857143</v>
      </c>
      <c r="GX24" s="204">
        <f>Metrika!GX25/Metrika!GX24</f>
        <v>0.6428571429</v>
      </c>
      <c r="GY24" s="204">
        <f>Metrika!GY25/Metrika!GY24</f>
        <v>0.5714285714</v>
      </c>
      <c r="GZ24" s="204">
        <f>Metrika!GZ25/Metrika!GZ24</f>
        <v>0.8571428571</v>
      </c>
      <c r="HA24" s="198"/>
    </row>
    <row r="25" ht="15.75" customHeight="1">
      <c r="A25" s="195"/>
      <c r="B25" s="82"/>
      <c r="C25" s="78"/>
      <c r="D25" s="78"/>
      <c r="E25" s="80" t="s">
        <v>26</v>
      </c>
      <c r="F25" s="198"/>
      <c r="G25" s="78"/>
      <c r="H25" s="78"/>
      <c r="I25" s="78"/>
      <c r="J25" s="78"/>
      <c r="K25" s="78"/>
      <c r="L25" s="78"/>
      <c r="M25" s="78"/>
      <c r="N25" s="78"/>
      <c r="O25" s="78"/>
      <c r="P25" s="78"/>
      <c r="Q25" s="78"/>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78"/>
      <c r="AX25" s="78"/>
      <c r="AY25" s="78"/>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78"/>
      <c r="CF25" s="78"/>
      <c r="CG25" s="78"/>
      <c r="CH25" s="78"/>
      <c r="CI25" s="78"/>
      <c r="CJ25" s="78"/>
      <c r="CK25" s="78"/>
      <c r="CL25" s="78"/>
      <c r="CM25" s="78"/>
      <c r="CN25" s="78"/>
      <c r="CO25" s="78"/>
      <c r="CP25" s="78"/>
      <c r="CQ25" s="78"/>
      <c r="CR25" s="78"/>
      <c r="CS25" s="78"/>
      <c r="CT25" s="78"/>
      <c r="CU25" s="78"/>
      <c r="CV25" s="78"/>
      <c r="CW25" s="78"/>
      <c r="CX25" s="78"/>
      <c r="CY25" s="78"/>
      <c r="CZ25" s="78"/>
      <c r="DA25" s="78"/>
      <c r="DB25" s="78"/>
      <c r="DC25" s="78"/>
      <c r="DD25" s="78"/>
      <c r="DE25" s="78"/>
      <c r="DF25" s="78"/>
      <c r="DG25" s="78"/>
      <c r="DH25" s="78"/>
      <c r="DI25" s="78"/>
      <c r="DJ25" s="78"/>
      <c r="DK25" s="78"/>
      <c r="DL25" s="78"/>
      <c r="DM25" s="78"/>
      <c r="DN25" s="78"/>
      <c r="DO25" s="78"/>
      <c r="DP25" s="78"/>
      <c r="DQ25" s="78"/>
      <c r="DR25" s="78"/>
      <c r="DS25" s="78"/>
      <c r="DT25" s="78"/>
      <c r="DU25" s="78"/>
      <c r="DV25" s="78"/>
      <c r="DW25" s="78"/>
      <c r="DX25" s="78"/>
      <c r="DY25" s="78"/>
      <c r="DZ25" s="78"/>
      <c r="EA25" s="78"/>
      <c r="EB25" s="78"/>
      <c r="EC25" s="78"/>
      <c r="ED25" s="78"/>
      <c r="EE25" s="78"/>
      <c r="EF25" s="78"/>
      <c r="EG25" s="78"/>
      <c r="EH25" s="78"/>
      <c r="EI25" s="78"/>
      <c r="EJ25" s="78"/>
      <c r="EK25" s="78"/>
      <c r="EL25" s="78"/>
      <c r="EM25" s="78"/>
      <c r="EN25" s="78"/>
      <c r="EO25" s="78"/>
      <c r="EP25" s="78"/>
      <c r="EQ25" s="78"/>
      <c r="ER25" s="78"/>
      <c r="ES25" s="78"/>
      <c r="ET25" s="78"/>
      <c r="EU25" s="78"/>
      <c r="EV25" s="78"/>
      <c r="EW25" s="78"/>
      <c r="EX25" s="78"/>
      <c r="EY25" s="78"/>
      <c r="EZ25" s="78"/>
      <c r="FA25" s="78"/>
      <c r="FB25" s="78"/>
      <c r="FC25" s="78"/>
      <c r="FD25" s="78"/>
      <c r="FE25" s="78"/>
      <c r="FF25" s="78"/>
      <c r="FG25" s="78"/>
      <c r="FH25" s="78"/>
      <c r="FI25" s="78"/>
      <c r="FJ25" s="78"/>
      <c r="FK25" s="78"/>
      <c r="FL25" s="78"/>
      <c r="FM25" s="78"/>
      <c r="FN25" s="78"/>
      <c r="FO25" s="78"/>
      <c r="FP25" s="78"/>
      <c r="FQ25" s="78"/>
      <c r="FR25" s="78"/>
      <c r="FS25" s="78"/>
      <c r="FT25" s="78"/>
      <c r="FU25" s="78"/>
      <c r="FV25" s="78"/>
      <c r="FW25" s="78"/>
      <c r="FX25" s="78"/>
      <c r="FY25" s="78"/>
      <c r="FZ25" s="78"/>
      <c r="GA25" s="78"/>
      <c r="GB25" s="78"/>
      <c r="GC25" s="78"/>
      <c r="GD25" s="78"/>
      <c r="GE25" s="78"/>
      <c r="GF25" s="78"/>
      <c r="GG25" s="78"/>
      <c r="GH25" s="78"/>
      <c r="GI25" s="78"/>
      <c r="GJ25" s="78"/>
      <c r="GK25" s="78"/>
      <c r="GL25" s="78"/>
      <c r="GM25" s="78"/>
      <c r="GN25" s="78"/>
      <c r="GO25" s="78"/>
      <c r="GP25" s="78"/>
      <c r="GQ25" s="78"/>
      <c r="GR25" s="78"/>
      <c r="GS25" s="78"/>
      <c r="GT25" s="78"/>
      <c r="GU25" s="78"/>
      <c r="GV25" s="78"/>
      <c r="GW25" s="78"/>
      <c r="GX25" s="78"/>
      <c r="GY25" s="78"/>
      <c r="GZ25" s="78"/>
      <c r="HA25" s="198"/>
    </row>
    <row r="26" ht="15.75" customHeight="1">
      <c r="A26" s="195"/>
      <c r="B26" s="82"/>
      <c r="C26" s="87">
        <v>4.0</v>
      </c>
      <c r="D26" s="123" t="s">
        <v>88</v>
      </c>
      <c r="E26" s="80" t="s">
        <v>19</v>
      </c>
      <c r="F26" s="198"/>
      <c r="G26" s="199">
        <f>Metrika!G27/Metrika!G26</f>
        <v>0.8958333333</v>
      </c>
      <c r="H26" s="200">
        <f>Metrika!H27/Metrika!H26</f>
        <v>0.8958333333</v>
      </c>
      <c r="I26" s="201">
        <f>Metrika!I27/Metrika!I26</f>
        <v>0.8958333333</v>
      </c>
      <c r="J26" s="202">
        <f>Metrika!J27/Metrika!J26</f>
        <v>0.945</v>
      </c>
      <c r="K26" s="203">
        <f>Metrika!K27/Metrika!K26</f>
        <v>0.93</v>
      </c>
      <c r="L26" s="204">
        <f>Metrika!L27/Metrika!L26</f>
        <v>0.9</v>
      </c>
      <c r="M26" s="204">
        <f>Metrika!M27/Metrika!M26</f>
        <v>0.92</v>
      </c>
      <c r="N26" s="204">
        <f>Metrika!N27/Metrika!N26</f>
        <v>0.94</v>
      </c>
      <c r="O26" s="204">
        <f>Metrika!O27/Metrika!O26</f>
        <v>0.96</v>
      </c>
      <c r="P26" s="203">
        <f>Metrika!P27/Metrika!P26</f>
        <v>0.895</v>
      </c>
      <c r="Q26" s="204">
        <f>Metrika!Q27/Metrika!Q26</f>
        <v>0.84</v>
      </c>
      <c r="R26" s="204">
        <f>Metrika!R27/Metrika!R26</f>
        <v>0.9</v>
      </c>
      <c r="S26" s="204">
        <f>Metrika!S27/Metrika!S26</f>
        <v>0.88</v>
      </c>
      <c r="T26" s="204">
        <f>Metrika!T27/Metrika!T26</f>
        <v>0.96</v>
      </c>
      <c r="U26" s="203">
        <f>Metrika!U27/Metrika!U26</f>
        <v>1.01</v>
      </c>
      <c r="V26" s="204">
        <f>Metrika!V27/Metrika!V26</f>
        <v>0.98</v>
      </c>
      <c r="W26" s="204">
        <f>Metrika!W27/Metrika!W26</f>
        <v>1</v>
      </c>
      <c r="X26" s="204">
        <f>Metrika!X27/Metrika!X26</f>
        <v>1.02</v>
      </c>
      <c r="Y26" s="204">
        <f>Metrika!Y27/Metrika!Y26</f>
        <v>1.04</v>
      </c>
      <c r="Z26" s="202">
        <f>Metrika!Z27/Metrika!Z26</f>
        <v>0.8466666667</v>
      </c>
      <c r="AA26" s="203">
        <f>Metrika!AA27/Metrika!AA26</f>
        <v>0.85</v>
      </c>
      <c r="AB26" s="204">
        <f>Metrika!AB27/Metrika!AB26</f>
        <v>0.8</v>
      </c>
      <c r="AC26" s="204">
        <f>Metrika!AC27/Metrika!AC26</f>
        <v>0.84</v>
      </c>
      <c r="AD26" s="204">
        <f>Metrika!AD27/Metrika!AD26</f>
        <v>0.86</v>
      </c>
      <c r="AE26" s="204">
        <f>Metrika!AE27/Metrika!AE26</f>
        <v>0.9</v>
      </c>
      <c r="AF26" s="203">
        <f>Metrika!AF27/Metrika!AF26</f>
        <v>0.84</v>
      </c>
      <c r="AG26" s="204">
        <f>Metrika!AG27/Metrika!AG26</f>
        <v>0.82</v>
      </c>
      <c r="AH26" s="204">
        <f>Metrika!AH27/Metrika!AH26</f>
        <v>0.9</v>
      </c>
      <c r="AI26" s="204">
        <f>Metrika!AI27/Metrika!AI26</f>
        <v>0.84</v>
      </c>
      <c r="AJ26" s="204">
        <f>Metrika!AJ27/Metrika!AJ26</f>
        <v>0.8</v>
      </c>
      <c r="AK26" s="203">
        <f>Metrika!AK27/Metrika!AK26</f>
        <v>0.85</v>
      </c>
      <c r="AL26" s="204">
        <f>Metrika!AL27/Metrika!AL26</f>
        <v>0.78</v>
      </c>
      <c r="AM26" s="204">
        <f>Metrika!AM27/Metrika!AM26</f>
        <v>0.8</v>
      </c>
      <c r="AN26" s="204">
        <f>Metrika!AN27/Metrika!AN26</f>
        <v>0.9</v>
      </c>
      <c r="AO26" s="204">
        <f>Metrika!AO27/Metrika!AO26</f>
        <v>0.92</v>
      </c>
      <c r="AP26" s="201">
        <f>Metrika!AP27/Metrika!AP26</f>
        <v>0.8958333333</v>
      </c>
      <c r="AQ26" s="202">
        <f>Metrika!AQ27/Metrika!AQ26</f>
        <v>0.8466666667</v>
      </c>
      <c r="AR26" s="203">
        <f>Metrika!AR27/Metrika!AR26</f>
        <v>0.85</v>
      </c>
      <c r="AS26" s="204">
        <f>Metrika!AS27/Metrika!AS26</f>
        <v>0.78</v>
      </c>
      <c r="AT26" s="204">
        <f>Metrika!AT27/Metrika!AT26</f>
        <v>0.8</v>
      </c>
      <c r="AU26" s="204">
        <f>Metrika!AU27/Metrika!AU26</f>
        <v>0.9</v>
      </c>
      <c r="AV26" s="204">
        <f>Metrika!AV27/Metrika!AV26</f>
        <v>0.92</v>
      </c>
      <c r="AW26" s="203">
        <f>Metrika!AW27/Metrika!AW26</f>
        <v>0.85</v>
      </c>
      <c r="AX26" s="204">
        <f>Metrika!AX27/Metrika!AX26</f>
        <v>0.8</v>
      </c>
      <c r="AY26" s="204">
        <f>Metrika!AY27/Metrika!AY26</f>
        <v>0.84</v>
      </c>
      <c r="AZ26" s="204">
        <f>Metrika!AZ27/Metrika!AZ26</f>
        <v>0.86</v>
      </c>
      <c r="BA26" s="204">
        <f>Metrika!BA27/Metrika!BA26</f>
        <v>0.9</v>
      </c>
      <c r="BB26" s="203">
        <f>Metrika!BB27/Metrika!BB26</f>
        <v>0.84</v>
      </c>
      <c r="BC26" s="204">
        <f>Metrika!BC27/Metrika!BC26</f>
        <v>0.82</v>
      </c>
      <c r="BD26" s="204">
        <f>Metrika!BD27/Metrika!BD26</f>
        <v>0.9</v>
      </c>
      <c r="BE26" s="204">
        <f>Metrika!BE27/Metrika!BE26</f>
        <v>0.84</v>
      </c>
      <c r="BF26" s="204">
        <f>Metrika!BF27/Metrika!BF26</f>
        <v>0.8</v>
      </c>
      <c r="BG26" s="202">
        <f>Metrika!BG27/Metrika!BG26</f>
        <v>0.945</v>
      </c>
      <c r="BH26" s="203">
        <f>Metrika!BH27/Metrika!BH26</f>
        <v>0.895</v>
      </c>
      <c r="BI26" s="204">
        <f>Metrika!BI27/Metrika!BI26</f>
        <v>0.84</v>
      </c>
      <c r="BJ26" s="204">
        <f>Metrika!BJ27/Metrika!BJ26</f>
        <v>0.9</v>
      </c>
      <c r="BK26" s="204">
        <f>Metrika!BK27/Metrika!BK26</f>
        <v>0.88</v>
      </c>
      <c r="BL26" s="204">
        <f>Metrika!BL27/Metrika!BL26</f>
        <v>0.96</v>
      </c>
      <c r="BM26" s="203">
        <f>Metrika!BM27/Metrika!BM26</f>
        <v>1.01</v>
      </c>
      <c r="BN26" s="204">
        <f>Metrika!BN27/Metrika!BN26</f>
        <v>0.98</v>
      </c>
      <c r="BO26" s="204">
        <f>Metrika!BO27/Metrika!BO26</f>
        <v>1</v>
      </c>
      <c r="BP26" s="204">
        <f>Metrika!BP27/Metrika!BP26</f>
        <v>1.02</v>
      </c>
      <c r="BQ26" s="204">
        <f>Metrika!BQ27/Metrika!BQ26</f>
        <v>1.04</v>
      </c>
      <c r="BR26" s="203">
        <f>Metrika!BR27/Metrika!BR26</f>
        <v>0.93</v>
      </c>
      <c r="BS26" s="204">
        <f>Metrika!BS27/Metrika!BS26</f>
        <v>0.9</v>
      </c>
      <c r="BT26" s="204">
        <f>Metrika!BT27/Metrika!BT26</f>
        <v>0.92</v>
      </c>
      <c r="BU26" s="204">
        <f>Metrika!BU27/Metrika!BU26</f>
        <v>0.94</v>
      </c>
      <c r="BV26" s="204">
        <f>Metrika!BV27/Metrika!BV26</f>
        <v>0.96</v>
      </c>
      <c r="BW26" s="200">
        <f>Metrika!BW27/Metrika!BW26</f>
        <v>0.8958333333</v>
      </c>
      <c r="BX26" s="201">
        <f>Metrika!BX27/Metrika!BX26</f>
        <v>0.8958333333</v>
      </c>
      <c r="BY26" s="202">
        <f>Metrika!BY27/Metrika!BY26</f>
        <v>0.8466666667</v>
      </c>
      <c r="BZ26" s="203">
        <f>Metrika!BZ27/Metrika!BZ26</f>
        <v>0.84</v>
      </c>
      <c r="CA26" s="204">
        <f>Metrika!CA27/Metrika!CA26</f>
        <v>0.82</v>
      </c>
      <c r="CB26" s="204">
        <f>Metrika!CB27/Metrika!CB26</f>
        <v>0.9</v>
      </c>
      <c r="CC26" s="204">
        <f>Metrika!CC27/Metrika!CC26</f>
        <v>0.84</v>
      </c>
      <c r="CD26" s="204">
        <f>Metrika!CD27/Metrika!CD26</f>
        <v>0.8</v>
      </c>
      <c r="CE26" s="203">
        <f>Metrika!CE27/Metrika!CE26</f>
        <v>0.85</v>
      </c>
      <c r="CF26" s="204">
        <f>Metrika!CF27/Metrika!CF26</f>
        <v>0.78</v>
      </c>
      <c r="CG26" s="204">
        <f>Metrika!CG27/Metrika!CG26</f>
        <v>0.8</v>
      </c>
      <c r="CH26" s="204">
        <f>Metrika!CH27/Metrika!CH26</f>
        <v>0.9</v>
      </c>
      <c r="CI26" s="204">
        <f>Metrika!CI27/Metrika!CI26</f>
        <v>0.92</v>
      </c>
      <c r="CJ26" s="203">
        <f>Metrika!CJ27/Metrika!CJ26</f>
        <v>0.85</v>
      </c>
      <c r="CK26" s="204">
        <f>Metrika!CK27/Metrika!CK26</f>
        <v>0.8</v>
      </c>
      <c r="CL26" s="204">
        <f>Metrika!CL27/Metrika!CL26</f>
        <v>0.84</v>
      </c>
      <c r="CM26" s="204">
        <f>Metrika!CM27/Metrika!CM26</f>
        <v>0.86</v>
      </c>
      <c r="CN26" s="204">
        <f>Metrika!CN27/Metrika!CN26</f>
        <v>0.9</v>
      </c>
      <c r="CO26" s="202">
        <f>Metrika!CO27/Metrika!CO26</f>
        <v>0.945</v>
      </c>
      <c r="CP26" s="203">
        <f>Metrika!CP27/Metrika!CP26</f>
        <v>0.93</v>
      </c>
      <c r="CQ26" s="204">
        <f>Metrika!CQ27/Metrika!CQ26</f>
        <v>0.9</v>
      </c>
      <c r="CR26" s="204">
        <f>Metrika!CR27/Metrika!CR26</f>
        <v>0.92</v>
      </c>
      <c r="CS26" s="204">
        <f>Metrika!CS27/Metrika!CS26</f>
        <v>0.94</v>
      </c>
      <c r="CT26" s="204">
        <f>Metrika!CT27/Metrika!CT26</f>
        <v>0.96</v>
      </c>
      <c r="CU26" s="203">
        <f>Metrika!CU27/Metrika!CU26</f>
        <v>0.895</v>
      </c>
      <c r="CV26" s="204">
        <f>Metrika!CV27/Metrika!CV26</f>
        <v>0.84</v>
      </c>
      <c r="CW26" s="204">
        <f>Metrika!CW27/Metrika!CW26</f>
        <v>0.9</v>
      </c>
      <c r="CX26" s="204">
        <f>Metrika!CX27/Metrika!CX26</f>
        <v>0.88</v>
      </c>
      <c r="CY26" s="204">
        <f>Metrika!CY27/Metrika!CY26</f>
        <v>0.96</v>
      </c>
      <c r="CZ26" s="203">
        <f>Metrika!CZ27/Metrika!CZ26</f>
        <v>1.01</v>
      </c>
      <c r="DA26" s="204">
        <f>Metrika!DA27/Metrika!DA26</f>
        <v>0.98</v>
      </c>
      <c r="DB26" s="204">
        <f>Metrika!DB27/Metrika!DB26</f>
        <v>1</v>
      </c>
      <c r="DC26" s="204">
        <f>Metrika!DC27/Metrika!DC26</f>
        <v>1.02</v>
      </c>
      <c r="DD26" s="204">
        <f>Metrika!DD27/Metrika!DD26</f>
        <v>1.04</v>
      </c>
      <c r="DE26" s="201">
        <f>Metrika!DE27/Metrika!DE26</f>
        <v>0.8958333333</v>
      </c>
      <c r="DF26" s="202">
        <f>Metrika!DF27/Metrika!DF26</f>
        <v>0.945</v>
      </c>
      <c r="DG26" s="203">
        <f>Metrika!DG27/Metrika!DG26</f>
        <v>1.01</v>
      </c>
      <c r="DH26" s="204">
        <f>Metrika!DH27/Metrika!DH26</f>
        <v>0.98</v>
      </c>
      <c r="DI26" s="204">
        <f>Metrika!DI27/Metrika!DI26</f>
        <v>1</v>
      </c>
      <c r="DJ26" s="204">
        <f>Metrika!DJ27/Metrika!DJ26</f>
        <v>1.02</v>
      </c>
      <c r="DK26" s="204">
        <f>Metrika!DK27/Metrika!DK26</f>
        <v>1.04</v>
      </c>
      <c r="DL26" s="203">
        <f>Metrika!DL27/Metrika!DL26</f>
        <v>0.93</v>
      </c>
      <c r="DM26" s="204">
        <f>Metrika!DM27/Metrika!DM26</f>
        <v>0.9</v>
      </c>
      <c r="DN26" s="204">
        <f>Metrika!DN27/Metrika!DN26</f>
        <v>0.92</v>
      </c>
      <c r="DO26" s="204">
        <f>Metrika!DO27/Metrika!DO26</f>
        <v>0.94</v>
      </c>
      <c r="DP26" s="204">
        <f>Metrika!DP27/Metrika!DP26</f>
        <v>0.96</v>
      </c>
      <c r="DQ26" s="203">
        <f>Metrika!DQ27/Metrika!DQ26</f>
        <v>0.895</v>
      </c>
      <c r="DR26" s="204">
        <f>Metrika!DR27/Metrika!DR26</f>
        <v>0.84</v>
      </c>
      <c r="DS26" s="204">
        <f>Metrika!DS27/Metrika!DS26</f>
        <v>0.9</v>
      </c>
      <c r="DT26" s="204">
        <f>Metrika!DT27/Metrika!DT26</f>
        <v>0.88</v>
      </c>
      <c r="DU26" s="204">
        <f>Metrika!DU27/Metrika!DU26</f>
        <v>0.96</v>
      </c>
      <c r="DV26" s="202">
        <f>Metrika!DV27/Metrika!DV26</f>
        <v>0.8466666667</v>
      </c>
      <c r="DW26" s="203">
        <f>Metrika!DW27/Metrika!DW26</f>
        <v>0.85</v>
      </c>
      <c r="DX26" s="204">
        <f>Metrika!DX27/Metrika!DX26</f>
        <v>0.78</v>
      </c>
      <c r="DY26" s="204">
        <f>Metrika!DY27/Metrika!DY26</f>
        <v>0.8</v>
      </c>
      <c r="DZ26" s="204">
        <f>Metrika!DZ27/Metrika!DZ26</f>
        <v>0.9</v>
      </c>
      <c r="EA26" s="204">
        <f>Metrika!EA27/Metrika!EA26</f>
        <v>0.92</v>
      </c>
      <c r="EB26" s="203">
        <f>Metrika!EB27/Metrika!EB26</f>
        <v>0.84</v>
      </c>
      <c r="EC26" s="204">
        <f>Metrika!EC27/Metrika!EC26</f>
        <v>0.82</v>
      </c>
      <c r="ED26" s="204">
        <f>Metrika!ED27/Metrika!ED26</f>
        <v>0.9</v>
      </c>
      <c r="EE26" s="204">
        <f>Metrika!EE27/Metrika!EE26</f>
        <v>0.84</v>
      </c>
      <c r="EF26" s="204">
        <f>Metrika!EF27/Metrika!EF26</f>
        <v>0.8</v>
      </c>
      <c r="EG26" s="203">
        <f>Metrika!EG27/Metrika!EG26</f>
        <v>0.85</v>
      </c>
      <c r="EH26" s="204">
        <f>Metrika!EH27/Metrika!EH26</f>
        <v>0.8</v>
      </c>
      <c r="EI26" s="204">
        <f>Metrika!EI27/Metrika!EI26</f>
        <v>0.84</v>
      </c>
      <c r="EJ26" s="204">
        <f>Metrika!EJ27/Metrika!EJ26</f>
        <v>0.86</v>
      </c>
      <c r="EK26" s="204">
        <f>Metrika!EK27/Metrika!EK26</f>
        <v>0.9</v>
      </c>
      <c r="EL26" s="200">
        <f>Metrika!EL27/Metrika!EL26</f>
        <v>0.8958333333</v>
      </c>
      <c r="EM26" s="201">
        <f>Metrika!EM27/Metrika!EM26</f>
        <v>0.8958333333</v>
      </c>
      <c r="EN26" s="202">
        <f>Metrika!EN27/Metrika!EN26</f>
        <v>0.8466666667</v>
      </c>
      <c r="EO26" s="203">
        <f>Metrika!EO27/Metrika!EO26</f>
        <v>0.84</v>
      </c>
      <c r="EP26" s="204">
        <f>Metrika!EP27/Metrika!EP26</f>
        <v>0.82</v>
      </c>
      <c r="EQ26" s="204">
        <f>Metrika!EQ27/Metrika!EQ26</f>
        <v>0.9</v>
      </c>
      <c r="ER26" s="204">
        <f>Metrika!ER27/Metrika!ER26</f>
        <v>0.84</v>
      </c>
      <c r="ES26" s="204">
        <f>Metrika!ES27/Metrika!ES26</f>
        <v>0.8</v>
      </c>
      <c r="ET26" s="203">
        <f>Metrika!ET27/Metrika!ET26</f>
        <v>0.85</v>
      </c>
      <c r="EU26" s="204">
        <f>Metrika!EU27/Metrika!EU26</f>
        <v>0.8</v>
      </c>
      <c r="EV26" s="204">
        <f>Metrika!EV27/Metrika!EV26</f>
        <v>0.84</v>
      </c>
      <c r="EW26" s="204">
        <f>Metrika!EW27/Metrika!EW26</f>
        <v>0.86</v>
      </c>
      <c r="EX26" s="204">
        <f>Metrika!EX27/Metrika!EX26</f>
        <v>0.9</v>
      </c>
      <c r="EY26" s="203">
        <f>Metrika!EY27/Metrika!EY26</f>
        <v>0.85</v>
      </c>
      <c r="EZ26" s="204">
        <f>Metrika!EZ27/Metrika!EZ26</f>
        <v>0.78</v>
      </c>
      <c r="FA26" s="204">
        <f>Metrika!FA27/Metrika!FA26</f>
        <v>0.8</v>
      </c>
      <c r="FB26" s="204">
        <f>Metrika!FB27/Metrika!FB26</f>
        <v>0.9</v>
      </c>
      <c r="FC26" s="204">
        <f>Metrika!FC27/Metrika!FC26</f>
        <v>0.92</v>
      </c>
      <c r="FD26" s="202">
        <f>Metrika!FD27/Metrika!FD26</f>
        <v>0.945</v>
      </c>
      <c r="FE26" s="203">
        <f>Metrika!FE27/Metrika!FE26</f>
        <v>0.93</v>
      </c>
      <c r="FF26" s="204">
        <f>Metrika!FF27/Metrika!FF26</f>
        <v>0.9</v>
      </c>
      <c r="FG26" s="204">
        <f>Metrika!FG27/Metrika!FG26</f>
        <v>0.92</v>
      </c>
      <c r="FH26" s="204">
        <f>Metrika!FH27/Metrika!FH26</f>
        <v>0.94</v>
      </c>
      <c r="FI26" s="204">
        <f>Metrika!FI27/Metrika!FI26</f>
        <v>0.96</v>
      </c>
      <c r="FJ26" s="203">
        <f>Metrika!FJ27/Metrika!FJ26</f>
        <v>0.895</v>
      </c>
      <c r="FK26" s="204">
        <f>Metrika!FK27/Metrika!FK26</f>
        <v>0.84</v>
      </c>
      <c r="FL26" s="204">
        <f>Metrika!FL27/Metrika!FL26</f>
        <v>0.9</v>
      </c>
      <c r="FM26" s="204">
        <f>Metrika!FM27/Metrika!FM26</f>
        <v>0.88</v>
      </c>
      <c r="FN26" s="204">
        <f>Metrika!FN27/Metrika!FN26</f>
        <v>0.96</v>
      </c>
      <c r="FO26" s="203">
        <f>Metrika!FO27/Metrika!FO26</f>
        <v>1.01</v>
      </c>
      <c r="FP26" s="204">
        <f>Metrika!FP27/Metrika!FP26</f>
        <v>0.98</v>
      </c>
      <c r="FQ26" s="204">
        <f>Metrika!FQ27/Metrika!FQ26</f>
        <v>1</v>
      </c>
      <c r="FR26" s="204">
        <f>Metrika!FR27/Metrika!FR26</f>
        <v>1.02</v>
      </c>
      <c r="FS26" s="204">
        <f>Metrika!FS27/Metrika!FS26</f>
        <v>1.04</v>
      </c>
      <c r="FT26" s="201">
        <f>Metrika!FT27/Metrika!FT26</f>
        <v>0.8958333333</v>
      </c>
      <c r="FU26" s="202">
        <f>Metrika!FU27/Metrika!FU26</f>
        <v>0.945</v>
      </c>
      <c r="FV26" s="203">
        <f>Metrika!FV27/Metrika!FV26</f>
        <v>1.01</v>
      </c>
      <c r="FW26" s="204">
        <f>Metrika!FW27/Metrika!FW26</f>
        <v>0.98</v>
      </c>
      <c r="FX26" s="204">
        <f>Metrika!FX27/Metrika!FX26</f>
        <v>1</v>
      </c>
      <c r="FY26" s="204">
        <f>Metrika!FY27/Metrika!FY26</f>
        <v>1.02</v>
      </c>
      <c r="FZ26" s="204">
        <f>Metrika!FZ27/Metrika!FZ26</f>
        <v>1.04</v>
      </c>
      <c r="GA26" s="203">
        <f>Metrika!GA27/Metrika!GA26</f>
        <v>0.93</v>
      </c>
      <c r="GB26" s="204">
        <f>Metrika!GB27/Metrika!GB26</f>
        <v>0.9</v>
      </c>
      <c r="GC26" s="204">
        <f>Metrika!GC27/Metrika!GC26</f>
        <v>0.92</v>
      </c>
      <c r="GD26" s="204">
        <f>Metrika!GD27/Metrika!GD26</f>
        <v>0.94</v>
      </c>
      <c r="GE26" s="204">
        <f>Metrika!GE27/Metrika!GE26</f>
        <v>0.96</v>
      </c>
      <c r="GF26" s="203">
        <f>Metrika!GF27/Metrika!GF26</f>
        <v>0.895</v>
      </c>
      <c r="GG26" s="204">
        <f>Metrika!GG27/Metrika!GG26</f>
        <v>0.84</v>
      </c>
      <c r="GH26" s="204">
        <f>Metrika!GH27/Metrika!GH26</f>
        <v>0.9</v>
      </c>
      <c r="GI26" s="204">
        <f>Metrika!GI27/Metrika!GI26</f>
        <v>0.88</v>
      </c>
      <c r="GJ26" s="204">
        <f>Metrika!GJ27/Metrika!GJ26</f>
        <v>0.96</v>
      </c>
      <c r="GK26" s="202">
        <f>Metrika!GK27/Metrika!GK26</f>
        <v>0.8466666667</v>
      </c>
      <c r="GL26" s="203">
        <f>Metrika!GL27/Metrika!GL26</f>
        <v>0.85</v>
      </c>
      <c r="GM26" s="204">
        <f>Metrika!GM27/Metrika!GM26</f>
        <v>0.8</v>
      </c>
      <c r="GN26" s="204">
        <f>Metrika!GN27/Metrika!GN26</f>
        <v>0.84</v>
      </c>
      <c r="GO26" s="204">
        <f>Metrika!GO27/Metrika!GO26</f>
        <v>0.86</v>
      </c>
      <c r="GP26" s="204">
        <f>Metrika!GP27/Metrika!GP26</f>
        <v>0.9</v>
      </c>
      <c r="GQ26" s="203">
        <f>Metrika!GQ27/Metrika!GQ26</f>
        <v>0.84</v>
      </c>
      <c r="GR26" s="204">
        <f>Metrika!GR27/Metrika!GR26</f>
        <v>0.82</v>
      </c>
      <c r="GS26" s="204">
        <f>Metrika!GS27/Metrika!GS26</f>
        <v>0.9</v>
      </c>
      <c r="GT26" s="204">
        <f>Metrika!GT27/Metrika!GT26</f>
        <v>0.84</v>
      </c>
      <c r="GU26" s="204">
        <f>Metrika!GU27/Metrika!GU26</f>
        <v>0.8</v>
      </c>
      <c r="GV26" s="203">
        <f>Metrika!GV27/Metrika!GV26</f>
        <v>0.85</v>
      </c>
      <c r="GW26" s="204">
        <f>Metrika!GW27/Metrika!GW26</f>
        <v>0.78</v>
      </c>
      <c r="GX26" s="204">
        <f>Metrika!GX27/Metrika!GX26</f>
        <v>0.8</v>
      </c>
      <c r="GY26" s="204">
        <f>Metrika!GY27/Metrika!GY26</f>
        <v>0.9</v>
      </c>
      <c r="GZ26" s="204">
        <f>Metrika!GZ27/Metrika!GZ26</f>
        <v>0.92</v>
      </c>
      <c r="HA26" s="198"/>
    </row>
    <row r="27" ht="15.75" customHeight="1">
      <c r="A27" s="195"/>
      <c r="B27" s="78"/>
      <c r="C27" s="78"/>
      <c r="D27" s="78"/>
      <c r="E27" s="80" t="s">
        <v>26</v>
      </c>
      <c r="F27" s="198"/>
      <c r="G27" s="78"/>
      <c r="H27" s="78"/>
      <c r="I27" s="78"/>
      <c r="J27" s="78"/>
      <c r="K27" s="78"/>
      <c r="L27" s="78"/>
      <c r="M27" s="78"/>
      <c r="N27" s="78"/>
      <c r="O27" s="78"/>
      <c r="P27" s="78"/>
      <c r="Q27" s="78"/>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78"/>
      <c r="EJ27" s="78"/>
      <c r="EK27" s="78"/>
      <c r="EL27" s="78"/>
      <c r="EM27" s="78"/>
      <c r="EN27" s="78"/>
      <c r="EO27" s="78"/>
      <c r="EP27" s="78"/>
      <c r="EQ27" s="78"/>
      <c r="ER27" s="78"/>
      <c r="ES27" s="78"/>
      <c r="ET27" s="78"/>
      <c r="EU27" s="78"/>
      <c r="EV27" s="78"/>
      <c r="EW27" s="78"/>
      <c r="EX27" s="78"/>
      <c r="EY27" s="78"/>
      <c r="EZ27" s="78"/>
      <c r="FA27" s="78"/>
      <c r="FB27" s="78"/>
      <c r="FC27" s="78"/>
      <c r="FD27" s="78"/>
      <c r="FE27" s="78"/>
      <c r="FF27" s="78"/>
      <c r="FG27" s="78"/>
      <c r="FH27" s="78"/>
      <c r="FI27" s="78"/>
      <c r="FJ27" s="78"/>
      <c r="FK27" s="78"/>
      <c r="FL27" s="78"/>
      <c r="FM27" s="78"/>
      <c r="FN27" s="78"/>
      <c r="FO27" s="78"/>
      <c r="FP27" s="78"/>
      <c r="FQ27" s="78"/>
      <c r="FR27" s="78"/>
      <c r="FS27" s="78"/>
      <c r="FT27" s="78"/>
      <c r="FU27" s="78"/>
      <c r="FV27" s="78"/>
      <c r="FW27" s="78"/>
      <c r="FX27" s="78"/>
      <c r="FY27" s="78"/>
      <c r="FZ27" s="78"/>
      <c r="GA27" s="78"/>
      <c r="GB27" s="78"/>
      <c r="GC27" s="78"/>
      <c r="GD27" s="78"/>
      <c r="GE27" s="78"/>
      <c r="GF27" s="78"/>
      <c r="GG27" s="78"/>
      <c r="GH27" s="78"/>
      <c r="GI27" s="78"/>
      <c r="GJ27" s="78"/>
      <c r="GK27" s="78"/>
      <c r="GL27" s="78"/>
      <c r="GM27" s="78"/>
      <c r="GN27" s="78"/>
      <c r="GO27" s="78"/>
      <c r="GP27" s="78"/>
      <c r="GQ27" s="78"/>
      <c r="GR27" s="78"/>
      <c r="GS27" s="78"/>
      <c r="GT27" s="78"/>
      <c r="GU27" s="78"/>
      <c r="GV27" s="78"/>
      <c r="GW27" s="78"/>
      <c r="GX27" s="78"/>
      <c r="GY27" s="78"/>
      <c r="GZ27" s="78"/>
      <c r="HA27" s="198"/>
    </row>
    <row r="28" ht="15.75" customHeight="1">
      <c r="A28" s="114"/>
      <c r="B28" s="261" t="s">
        <v>101</v>
      </c>
      <c r="C28" s="144">
        <v>1.0</v>
      </c>
      <c r="D28" s="102" t="s">
        <v>109</v>
      </c>
      <c r="E28" s="80" t="s">
        <v>19</v>
      </c>
      <c r="F28" s="198"/>
      <c r="G28" s="199">
        <f>Metrika!G29/Metrika!G28</f>
        <v>0.919047619</v>
      </c>
      <c r="H28" s="200">
        <f>Metrika!H29/Metrika!H28</f>
        <v>0.919047619</v>
      </c>
      <c r="I28" s="201">
        <f>Metrika!I29/Metrika!I28</f>
        <v>0.919047619</v>
      </c>
      <c r="J28" s="202">
        <f>Metrika!J29/Metrika!J28</f>
        <v>0.9761904762</v>
      </c>
      <c r="K28" s="203">
        <f>Metrika!K29/Metrika!K28</f>
        <v>0.9571428571</v>
      </c>
      <c r="L28" s="204">
        <f>Metrika!L29/Metrika!L28</f>
        <v>0.9285714286</v>
      </c>
      <c r="M28" s="204">
        <f>Metrika!M29/Metrika!M28</f>
        <v>0.9571428571</v>
      </c>
      <c r="N28" s="204">
        <f>Metrika!N29/Metrika!N28</f>
        <v>0.9428571429</v>
      </c>
      <c r="O28" s="204">
        <f>Metrika!O29/Metrika!O28</f>
        <v>1</v>
      </c>
      <c r="P28" s="203">
        <f>Metrika!P29/Metrika!P28</f>
        <v>0.9696428571</v>
      </c>
      <c r="Q28" s="204">
        <f>Metrika!Q29/Metrika!Q28</f>
        <v>0.9428571429</v>
      </c>
      <c r="R28" s="204">
        <f>Metrika!R29/Metrika!R28</f>
        <v>0.9714285714</v>
      </c>
      <c r="S28" s="204">
        <f>Metrika!S29/Metrika!S28</f>
        <v>0.9785714286</v>
      </c>
      <c r="T28" s="204">
        <f>Metrika!T29/Metrika!T28</f>
        <v>0.9857142857</v>
      </c>
      <c r="U28" s="203">
        <f>Metrika!U29/Metrika!U28</f>
        <v>1.001785714</v>
      </c>
      <c r="V28" s="204">
        <f>Metrika!V29/Metrika!V28</f>
        <v>1</v>
      </c>
      <c r="W28" s="204">
        <f>Metrika!W29/Metrika!W28</f>
        <v>0.9857142857</v>
      </c>
      <c r="X28" s="204">
        <f>Metrika!X29/Metrika!X28</f>
        <v>1.007142857</v>
      </c>
      <c r="Y28" s="204">
        <f>Metrika!Y29/Metrika!Y28</f>
        <v>1.014285714</v>
      </c>
      <c r="Z28" s="202">
        <f>Metrika!Z29/Metrika!Z28</f>
        <v>0.8619047619</v>
      </c>
      <c r="AA28" s="203">
        <f>Metrika!AA29/Metrika!AA28</f>
        <v>0.85</v>
      </c>
      <c r="AB28" s="204">
        <f>Metrika!AB29/Metrika!AB28</f>
        <v>0.8571428571</v>
      </c>
      <c r="AC28" s="204">
        <f>Metrika!AC29/Metrika!AC28</f>
        <v>0.8428571429</v>
      </c>
      <c r="AD28" s="204">
        <f>Metrika!AD29/Metrika!AD28</f>
        <v>0.8285714286</v>
      </c>
      <c r="AE28" s="204">
        <f>Metrika!AE29/Metrika!AE28</f>
        <v>0.8714285714</v>
      </c>
      <c r="AF28" s="203">
        <f>Metrika!AF29/Metrika!AF28</f>
        <v>0.8892857143</v>
      </c>
      <c r="AG28" s="204">
        <f>Metrika!AG29/Metrika!AG28</f>
        <v>0.8857142857</v>
      </c>
      <c r="AH28" s="204">
        <f>Metrika!AH29/Metrika!AH28</f>
        <v>0.8785714286</v>
      </c>
      <c r="AI28" s="204">
        <f>Metrika!AI29/Metrika!AI28</f>
        <v>0.8928571429</v>
      </c>
      <c r="AJ28" s="204">
        <f>Metrika!AJ29/Metrika!AJ28</f>
        <v>0.9</v>
      </c>
      <c r="AK28" s="203">
        <f>Metrika!AK29/Metrika!AK28</f>
        <v>0.8464285714</v>
      </c>
      <c r="AL28" s="204">
        <f>Metrika!AL29/Metrika!AL28</f>
        <v>0.85</v>
      </c>
      <c r="AM28" s="204">
        <f>Metrika!AM29/Metrika!AM28</f>
        <v>0.8357142857</v>
      </c>
      <c r="AN28" s="204">
        <f>Metrika!AN29/Metrika!AN28</f>
        <v>0.8285714286</v>
      </c>
      <c r="AO28" s="204">
        <f>Metrika!AO29/Metrika!AO28</f>
        <v>0.8714285714</v>
      </c>
      <c r="AP28" s="201">
        <f>Metrika!AP29/Metrika!AP28</f>
        <v>0.919047619</v>
      </c>
      <c r="AQ28" s="202">
        <f>Metrika!AQ29/Metrika!AQ28</f>
        <v>0.8619047619</v>
      </c>
      <c r="AR28" s="203">
        <f>Metrika!AR29/Metrika!AR28</f>
        <v>0.8464285714</v>
      </c>
      <c r="AS28" s="204">
        <f>Metrika!AS29/Metrika!AS28</f>
        <v>0.85</v>
      </c>
      <c r="AT28" s="204">
        <f>Metrika!AT29/Metrika!AT28</f>
        <v>0.8357142857</v>
      </c>
      <c r="AU28" s="204">
        <f>Metrika!AU29/Metrika!AU28</f>
        <v>0.8285714286</v>
      </c>
      <c r="AV28" s="204">
        <f>Metrika!AV29/Metrika!AV28</f>
        <v>0.8714285714</v>
      </c>
      <c r="AW28" s="203">
        <f>Metrika!AW29/Metrika!AW28</f>
        <v>0.85</v>
      </c>
      <c r="AX28" s="204">
        <f>Metrika!AX29/Metrika!AX28</f>
        <v>0.8571428571</v>
      </c>
      <c r="AY28" s="204">
        <f>Metrika!AY29/Metrika!AY28</f>
        <v>0.8428571429</v>
      </c>
      <c r="AZ28" s="204">
        <f>Metrika!AZ29/Metrika!AZ28</f>
        <v>0.8285714286</v>
      </c>
      <c r="BA28" s="204">
        <f>Metrika!BA29/Metrika!BA28</f>
        <v>0.8714285714</v>
      </c>
      <c r="BB28" s="203">
        <f>Metrika!BB29/Metrika!BB28</f>
        <v>0.8892857143</v>
      </c>
      <c r="BC28" s="204">
        <f>Metrika!BC29/Metrika!BC28</f>
        <v>0.8857142857</v>
      </c>
      <c r="BD28" s="204">
        <f>Metrika!BD29/Metrika!BD28</f>
        <v>0.8785714286</v>
      </c>
      <c r="BE28" s="204">
        <f>Metrika!BE29/Metrika!BE28</f>
        <v>0.8928571429</v>
      </c>
      <c r="BF28" s="204">
        <f>Metrika!BF29/Metrika!BF28</f>
        <v>0.9</v>
      </c>
      <c r="BG28" s="202">
        <f>Metrika!BG29/Metrika!BG28</f>
        <v>0.9761904762</v>
      </c>
      <c r="BH28" s="203">
        <f>Metrika!BH29/Metrika!BH28</f>
        <v>0.9696428571</v>
      </c>
      <c r="BI28" s="204">
        <f>Metrika!BI29/Metrika!BI28</f>
        <v>0.9428571429</v>
      </c>
      <c r="BJ28" s="204">
        <f>Metrika!BJ29/Metrika!BJ28</f>
        <v>0.9714285714</v>
      </c>
      <c r="BK28" s="204">
        <f>Metrika!BK29/Metrika!BK28</f>
        <v>0.9785714286</v>
      </c>
      <c r="BL28" s="204">
        <f>Metrika!BL29/Metrika!BL28</f>
        <v>0.9857142857</v>
      </c>
      <c r="BM28" s="203">
        <f>Metrika!BM29/Metrika!BM28</f>
        <v>1.001785714</v>
      </c>
      <c r="BN28" s="204">
        <f>Metrika!BN29/Metrika!BN28</f>
        <v>1</v>
      </c>
      <c r="BO28" s="204">
        <f>Metrika!BO29/Metrika!BO28</f>
        <v>0.9857142857</v>
      </c>
      <c r="BP28" s="204">
        <f>Metrika!BP29/Metrika!BP28</f>
        <v>1.007142857</v>
      </c>
      <c r="BQ28" s="204">
        <f>Metrika!BQ29/Metrika!BQ28</f>
        <v>1.014285714</v>
      </c>
      <c r="BR28" s="203">
        <f>Metrika!BR29/Metrika!BR28</f>
        <v>0.9571428571</v>
      </c>
      <c r="BS28" s="204">
        <f>Metrika!BS29/Metrika!BS28</f>
        <v>0.9285714286</v>
      </c>
      <c r="BT28" s="204">
        <f>Metrika!BT29/Metrika!BT28</f>
        <v>0.9571428571</v>
      </c>
      <c r="BU28" s="204">
        <f>Metrika!BU29/Metrika!BU28</f>
        <v>0.9428571429</v>
      </c>
      <c r="BV28" s="204">
        <f>Metrika!BV29/Metrika!BV28</f>
        <v>1</v>
      </c>
      <c r="BW28" s="200">
        <f>Metrika!BW29/Metrika!BW28</f>
        <v>0.919047619</v>
      </c>
      <c r="BX28" s="201">
        <f>Metrika!BX29/Metrika!BX28</f>
        <v>0.919047619</v>
      </c>
      <c r="BY28" s="202">
        <f>Metrika!BY29/Metrika!BY28</f>
        <v>0.8619047619</v>
      </c>
      <c r="BZ28" s="203">
        <f>Metrika!BZ29/Metrika!BZ28</f>
        <v>0.8892857143</v>
      </c>
      <c r="CA28" s="204">
        <f>Metrika!CA29/Metrika!CA28</f>
        <v>0.8857142857</v>
      </c>
      <c r="CB28" s="204">
        <f>Metrika!CB29/Metrika!CB28</f>
        <v>0.8785714286</v>
      </c>
      <c r="CC28" s="204">
        <f>Metrika!CC29/Metrika!CC28</f>
        <v>0.8928571429</v>
      </c>
      <c r="CD28" s="204">
        <f>Metrika!CD29/Metrika!CD28</f>
        <v>0.9</v>
      </c>
      <c r="CE28" s="203">
        <f>Metrika!CE29/Metrika!CE28</f>
        <v>0.8464285714</v>
      </c>
      <c r="CF28" s="204">
        <f>Metrika!CF29/Metrika!CF28</f>
        <v>0.85</v>
      </c>
      <c r="CG28" s="204">
        <f>Metrika!CG29/Metrika!CG28</f>
        <v>0.8357142857</v>
      </c>
      <c r="CH28" s="204">
        <f>Metrika!CH29/Metrika!CH28</f>
        <v>0.8285714286</v>
      </c>
      <c r="CI28" s="204">
        <f>Metrika!CI29/Metrika!CI28</f>
        <v>0.8714285714</v>
      </c>
      <c r="CJ28" s="203">
        <f>Metrika!CJ29/Metrika!CJ28</f>
        <v>0.85</v>
      </c>
      <c r="CK28" s="204">
        <f>Metrika!CK29/Metrika!CK28</f>
        <v>0.8571428571</v>
      </c>
      <c r="CL28" s="204">
        <f>Metrika!CL29/Metrika!CL28</f>
        <v>0.8428571429</v>
      </c>
      <c r="CM28" s="204">
        <f>Metrika!CM29/Metrika!CM28</f>
        <v>0.8285714286</v>
      </c>
      <c r="CN28" s="204">
        <f>Metrika!CN29/Metrika!CN28</f>
        <v>0.8714285714</v>
      </c>
      <c r="CO28" s="202">
        <f>Metrika!CO29/Metrika!CO28</f>
        <v>0.9761904762</v>
      </c>
      <c r="CP28" s="203">
        <f>Metrika!CP29/Metrika!CP28</f>
        <v>0.9571428571</v>
      </c>
      <c r="CQ28" s="204">
        <f>Metrika!CQ29/Metrika!CQ28</f>
        <v>0.9285714286</v>
      </c>
      <c r="CR28" s="204">
        <f>Metrika!CR29/Metrika!CR28</f>
        <v>0.9571428571</v>
      </c>
      <c r="CS28" s="204">
        <f>Metrika!CS29/Metrika!CS28</f>
        <v>0.9428571429</v>
      </c>
      <c r="CT28" s="204">
        <f>Metrika!CT29/Metrika!CT28</f>
        <v>1</v>
      </c>
      <c r="CU28" s="203">
        <f>Metrika!CU29/Metrika!CU28</f>
        <v>0.9696428571</v>
      </c>
      <c r="CV28" s="204">
        <f>Metrika!CV29/Metrika!CV28</f>
        <v>0.9428571429</v>
      </c>
      <c r="CW28" s="204">
        <f>Metrika!CW29/Metrika!CW28</f>
        <v>0.9714285714</v>
      </c>
      <c r="CX28" s="204">
        <f>Metrika!CX29/Metrika!CX28</f>
        <v>0.9785714286</v>
      </c>
      <c r="CY28" s="204">
        <f>Metrika!CY29/Metrika!CY28</f>
        <v>0.9857142857</v>
      </c>
      <c r="CZ28" s="203">
        <f>Metrika!CZ29/Metrika!CZ28</f>
        <v>1.001785714</v>
      </c>
      <c r="DA28" s="204">
        <f>Metrika!DA29/Metrika!DA28</f>
        <v>1</v>
      </c>
      <c r="DB28" s="204">
        <f>Metrika!DB29/Metrika!DB28</f>
        <v>0.9857142857</v>
      </c>
      <c r="DC28" s="204">
        <f>Metrika!DC29/Metrika!DC28</f>
        <v>1.007142857</v>
      </c>
      <c r="DD28" s="204">
        <f>Metrika!DD29/Metrika!DD28</f>
        <v>1.014285714</v>
      </c>
      <c r="DE28" s="201">
        <f>Metrika!DE29/Metrika!DE28</f>
        <v>0.919047619</v>
      </c>
      <c r="DF28" s="202">
        <f>Metrika!DF29/Metrika!DF28</f>
        <v>0.9761904762</v>
      </c>
      <c r="DG28" s="203">
        <f>Metrika!DG29/Metrika!DG28</f>
        <v>1.001785714</v>
      </c>
      <c r="DH28" s="204">
        <f>Metrika!DH29/Metrika!DH28</f>
        <v>1</v>
      </c>
      <c r="DI28" s="204">
        <f>Metrika!DI29/Metrika!DI28</f>
        <v>0.9857142857</v>
      </c>
      <c r="DJ28" s="204">
        <f>Metrika!DJ29/Metrika!DJ28</f>
        <v>1.007142857</v>
      </c>
      <c r="DK28" s="204">
        <f>Metrika!DK29/Metrika!DK28</f>
        <v>1.014285714</v>
      </c>
      <c r="DL28" s="203">
        <f>Metrika!DL29/Metrika!DL28</f>
        <v>0.9571428571</v>
      </c>
      <c r="DM28" s="204">
        <f>Metrika!DM29/Metrika!DM28</f>
        <v>0.9285714286</v>
      </c>
      <c r="DN28" s="204">
        <f>Metrika!DN29/Metrika!DN28</f>
        <v>0.9571428571</v>
      </c>
      <c r="DO28" s="204">
        <f>Metrika!DO29/Metrika!DO28</f>
        <v>0.9428571429</v>
      </c>
      <c r="DP28" s="204">
        <f>Metrika!DP29/Metrika!DP28</f>
        <v>1</v>
      </c>
      <c r="DQ28" s="203">
        <f>Metrika!DQ29/Metrika!DQ28</f>
        <v>0.9696428571</v>
      </c>
      <c r="DR28" s="204">
        <f>Metrika!DR29/Metrika!DR28</f>
        <v>0.9428571429</v>
      </c>
      <c r="DS28" s="204">
        <f>Metrika!DS29/Metrika!DS28</f>
        <v>0.9714285714</v>
      </c>
      <c r="DT28" s="204">
        <f>Metrika!DT29/Metrika!DT28</f>
        <v>0.9785714286</v>
      </c>
      <c r="DU28" s="204">
        <f>Metrika!DU29/Metrika!DU28</f>
        <v>0.9857142857</v>
      </c>
      <c r="DV28" s="202">
        <f>Metrika!DV29/Metrika!DV28</f>
        <v>0.8619047619</v>
      </c>
      <c r="DW28" s="203">
        <f>Metrika!DW29/Metrika!DW28</f>
        <v>0.8464285714</v>
      </c>
      <c r="DX28" s="204">
        <f>Metrika!DX29/Metrika!DX28</f>
        <v>0.85</v>
      </c>
      <c r="DY28" s="204">
        <f>Metrika!DY29/Metrika!DY28</f>
        <v>0.8357142857</v>
      </c>
      <c r="DZ28" s="204">
        <f>Metrika!DZ29/Metrika!DZ28</f>
        <v>0.8285714286</v>
      </c>
      <c r="EA28" s="204">
        <f>Metrika!EA29/Metrika!EA28</f>
        <v>0.8714285714</v>
      </c>
      <c r="EB28" s="203">
        <f>Metrika!EB29/Metrika!EB28</f>
        <v>0.8892857143</v>
      </c>
      <c r="EC28" s="204">
        <f>Metrika!EC29/Metrika!EC28</f>
        <v>0.8857142857</v>
      </c>
      <c r="ED28" s="204">
        <f>Metrika!ED29/Metrika!ED28</f>
        <v>0.8785714286</v>
      </c>
      <c r="EE28" s="204">
        <f>Metrika!EE29/Metrika!EE28</f>
        <v>0.8928571429</v>
      </c>
      <c r="EF28" s="204">
        <f>Metrika!EF29/Metrika!EF28</f>
        <v>0.9</v>
      </c>
      <c r="EG28" s="203">
        <f>Metrika!EG29/Metrika!EG28</f>
        <v>0.85</v>
      </c>
      <c r="EH28" s="204">
        <f>Metrika!EH29/Metrika!EH28</f>
        <v>0.8571428571</v>
      </c>
      <c r="EI28" s="204">
        <f>Metrika!EI29/Metrika!EI28</f>
        <v>0.8428571429</v>
      </c>
      <c r="EJ28" s="204">
        <f>Metrika!EJ29/Metrika!EJ28</f>
        <v>0.8285714286</v>
      </c>
      <c r="EK28" s="204">
        <f>Metrika!EK29/Metrika!EK28</f>
        <v>0.8714285714</v>
      </c>
      <c r="EL28" s="200">
        <f>Metrika!EL29/Metrika!EL28</f>
        <v>0.919047619</v>
      </c>
      <c r="EM28" s="201">
        <f>Metrika!EM29/Metrika!EM28</f>
        <v>0.919047619</v>
      </c>
      <c r="EN28" s="202">
        <f>Metrika!EN29/Metrika!EN28</f>
        <v>0.8619047619</v>
      </c>
      <c r="EO28" s="203">
        <f>Metrika!EO29/Metrika!EO28</f>
        <v>0.8892857143</v>
      </c>
      <c r="EP28" s="204">
        <f>Metrika!EP29/Metrika!EP28</f>
        <v>0.8857142857</v>
      </c>
      <c r="EQ28" s="204">
        <f>Metrika!EQ29/Metrika!EQ28</f>
        <v>0.8785714286</v>
      </c>
      <c r="ER28" s="204">
        <f>Metrika!ER29/Metrika!ER28</f>
        <v>0.8928571429</v>
      </c>
      <c r="ES28" s="204">
        <f>Metrika!ES29/Metrika!ES28</f>
        <v>0.9</v>
      </c>
      <c r="ET28" s="203">
        <f>Metrika!ET29/Metrika!ET28</f>
        <v>0.85</v>
      </c>
      <c r="EU28" s="204">
        <f>Metrika!EU29/Metrika!EU28</f>
        <v>0.8571428571</v>
      </c>
      <c r="EV28" s="204">
        <f>Metrika!EV29/Metrika!EV28</f>
        <v>0.8428571429</v>
      </c>
      <c r="EW28" s="204">
        <f>Metrika!EW29/Metrika!EW28</f>
        <v>0.8285714286</v>
      </c>
      <c r="EX28" s="204">
        <f>Metrika!EX29/Metrika!EX28</f>
        <v>0.8714285714</v>
      </c>
      <c r="EY28" s="203">
        <f>Metrika!EY29/Metrika!EY28</f>
        <v>0.8464285714</v>
      </c>
      <c r="EZ28" s="204">
        <f>Metrika!EZ29/Metrika!EZ28</f>
        <v>0.85</v>
      </c>
      <c r="FA28" s="204">
        <f>Metrika!FA29/Metrika!FA28</f>
        <v>0.8357142857</v>
      </c>
      <c r="FB28" s="204">
        <f>Metrika!FB29/Metrika!FB28</f>
        <v>0.8285714286</v>
      </c>
      <c r="FC28" s="204">
        <f>Metrika!FC29/Metrika!FC28</f>
        <v>0.8714285714</v>
      </c>
      <c r="FD28" s="202">
        <f>Metrika!FD29/Metrika!FD28</f>
        <v>0.9761904762</v>
      </c>
      <c r="FE28" s="203">
        <f>Metrika!FE29/Metrika!FE28</f>
        <v>0.9571428571</v>
      </c>
      <c r="FF28" s="204">
        <f>Metrika!FF29/Metrika!FF28</f>
        <v>0.9285714286</v>
      </c>
      <c r="FG28" s="204">
        <f>Metrika!FG29/Metrika!FG28</f>
        <v>0.9571428571</v>
      </c>
      <c r="FH28" s="204">
        <f>Metrika!FH29/Metrika!FH28</f>
        <v>0.9428571429</v>
      </c>
      <c r="FI28" s="204">
        <f>Metrika!FI29/Metrika!FI28</f>
        <v>1</v>
      </c>
      <c r="FJ28" s="203">
        <f>Metrika!FJ29/Metrika!FJ28</f>
        <v>0.9696428571</v>
      </c>
      <c r="FK28" s="204">
        <f>Metrika!FK29/Metrika!FK28</f>
        <v>0.9428571429</v>
      </c>
      <c r="FL28" s="204">
        <f>Metrika!FL29/Metrika!FL28</f>
        <v>0.9714285714</v>
      </c>
      <c r="FM28" s="204">
        <f>Metrika!FM29/Metrika!FM28</f>
        <v>0.9785714286</v>
      </c>
      <c r="FN28" s="204">
        <f>Metrika!FN29/Metrika!FN28</f>
        <v>0.9857142857</v>
      </c>
      <c r="FO28" s="203">
        <f>Metrika!FO29/Metrika!FO28</f>
        <v>1.001785714</v>
      </c>
      <c r="FP28" s="204">
        <f>Metrika!FP29/Metrika!FP28</f>
        <v>1</v>
      </c>
      <c r="FQ28" s="204">
        <f>Metrika!FQ29/Metrika!FQ28</f>
        <v>0.9857142857</v>
      </c>
      <c r="FR28" s="204">
        <f>Metrika!FR29/Metrika!FR28</f>
        <v>1.007142857</v>
      </c>
      <c r="FS28" s="204">
        <f>Metrika!FS29/Metrika!FS28</f>
        <v>1.014285714</v>
      </c>
      <c r="FT28" s="201">
        <f>Metrika!FT29/Metrika!FT28</f>
        <v>0.919047619</v>
      </c>
      <c r="FU28" s="202">
        <f>Metrika!FU29/Metrika!FU28</f>
        <v>0.9761904762</v>
      </c>
      <c r="FV28" s="203">
        <f>Metrika!FV29/Metrika!FV28</f>
        <v>1.001785714</v>
      </c>
      <c r="FW28" s="204">
        <f>Metrika!FW29/Metrika!FW28</f>
        <v>1</v>
      </c>
      <c r="FX28" s="204">
        <f>Metrika!FX29/Metrika!FX28</f>
        <v>0.9857142857</v>
      </c>
      <c r="FY28" s="204">
        <f>Metrika!FY29/Metrika!FY28</f>
        <v>1.007142857</v>
      </c>
      <c r="FZ28" s="204">
        <f>Metrika!FZ29/Metrika!FZ28</f>
        <v>1.014285714</v>
      </c>
      <c r="GA28" s="203">
        <f>Metrika!GA29/Metrika!GA28</f>
        <v>0.9571428571</v>
      </c>
      <c r="GB28" s="204">
        <f>Metrika!GB29/Metrika!GB28</f>
        <v>0.9285714286</v>
      </c>
      <c r="GC28" s="204">
        <f>Metrika!GC29/Metrika!GC28</f>
        <v>0.9571428571</v>
      </c>
      <c r="GD28" s="204">
        <f>Metrika!GD29/Metrika!GD28</f>
        <v>0.9428571429</v>
      </c>
      <c r="GE28" s="204">
        <f>Metrika!GE29/Metrika!GE28</f>
        <v>1</v>
      </c>
      <c r="GF28" s="203">
        <f>Metrika!GF29/Metrika!GF28</f>
        <v>0.9696428571</v>
      </c>
      <c r="GG28" s="204">
        <f>Metrika!GG29/Metrika!GG28</f>
        <v>0.9428571429</v>
      </c>
      <c r="GH28" s="204">
        <f>Metrika!GH29/Metrika!GH28</f>
        <v>0.9714285714</v>
      </c>
      <c r="GI28" s="204">
        <f>Metrika!GI29/Metrika!GI28</f>
        <v>0.9785714286</v>
      </c>
      <c r="GJ28" s="204">
        <f>Metrika!GJ29/Metrika!GJ28</f>
        <v>0.9857142857</v>
      </c>
      <c r="GK28" s="202">
        <f>Metrika!GK29/Metrika!GK28</f>
        <v>0.8619047619</v>
      </c>
      <c r="GL28" s="203">
        <f>Metrika!GL29/Metrika!GL28</f>
        <v>0.85</v>
      </c>
      <c r="GM28" s="204">
        <f>Metrika!GM29/Metrika!GM28</f>
        <v>0.8571428571</v>
      </c>
      <c r="GN28" s="204">
        <f>Metrika!GN29/Metrika!GN28</f>
        <v>0.8428571429</v>
      </c>
      <c r="GO28" s="204">
        <f>Metrika!GO29/Metrika!GO28</f>
        <v>0.8285714286</v>
      </c>
      <c r="GP28" s="204">
        <f>Metrika!GP29/Metrika!GP28</f>
        <v>0.8714285714</v>
      </c>
      <c r="GQ28" s="203">
        <f>Metrika!GQ29/Metrika!GQ28</f>
        <v>0.8892857143</v>
      </c>
      <c r="GR28" s="204">
        <f>Metrika!GR29/Metrika!GR28</f>
        <v>0.8857142857</v>
      </c>
      <c r="GS28" s="204">
        <f>Metrika!GS29/Metrika!GS28</f>
        <v>0.8785714286</v>
      </c>
      <c r="GT28" s="204">
        <f>Metrika!GT29/Metrika!GT28</f>
        <v>0.8928571429</v>
      </c>
      <c r="GU28" s="204">
        <f>Metrika!GU29/Metrika!GU28</f>
        <v>0.9</v>
      </c>
      <c r="GV28" s="203">
        <f>Metrika!GV29/Metrika!GV28</f>
        <v>0.8464285714</v>
      </c>
      <c r="GW28" s="204">
        <f>Metrika!GW29/Metrika!GW28</f>
        <v>0.85</v>
      </c>
      <c r="GX28" s="204">
        <f>Metrika!GX29/Metrika!GX28</f>
        <v>0.8357142857</v>
      </c>
      <c r="GY28" s="204">
        <f>Metrika!GY29/Metrika!GY28</f>
        <v>0.8285714286</v>
      </c>
      <c r="GZ28" s="204">
        <f>Metrika!GZ29/Metrika!GZ28</f>
        <v>0.8714285714</v>
      </c>
      <c r="HA28" s="198"/>
    </row>
    <row r="29" ht="15.75" customHeight="1">
      <c r="A29" s="114"/>
      <c r="B29" s="82"/>
      <c r="C29" s="78"/>
      <c r="D29" s="78"/>
      <c r="E29" s="80" t="s">
        <v>26</v>
      </c>
      <c r="F29" s="198"/>
      <c r="G29" s="78"/>
      <c r="H29" s="78"/>
      <c r="I29" s="78"/>
      <c r="J29" s="78"/>
      <c r="K29" s="78"/>
      <c r="L29" s="78"/>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78"/>
      <c r="EJ29" s="78"/>
      <c r="EK29" s="78"/>
      <c r="EL29" s="78"/>
      <c r="EM29" s="78"/>
      <c r="EN29" s="78"/>
      <c r="EO29" s="78"/>
      <c r="EP29" s="78"/>
      <c r="EQ29" s="78"/>
      <c r="ER29" s="78"/>
      <c r="ES29" s="78"/>
      <c r="ET29" s="78"/>
      <c r="EU29" s="78"/>
      <c r="EV29" s="78"/>
      <c r="EW29" s="78"/>
      <c r="EX29" s="78"/>
      <c r="EY29" s="78"/>
      <c r="EZ29" s="78"/>
      <c r="FA29" s="78"/>
      <c r="FB29" s="78"/>
      <c r="FC29" s="78"/>
      <c r="FD29" s="78"/>
      <c r="FE29" s="78"/>
      <c r="FF29" s="78"/>
      <c r="FG29" s="78"/>
      <c r="FH29" s="78"/>
      <c r="FI29" s="78"/>
      <c r="FJ29" s="78"/>
      <c r="FK29" s="78"/>
      <c r="FL29" s="78"/>
      <c r="FM29" s="78"/>
      <c r="FN29" s="78"/>
      <c r="FO29" s="78"/>
      <c r="FP29" s="78"/>
      <c r="FQ29" s="78"/>
      <c r="FR29" s="78"/>
      <c r="FS29" s="78"/>
      <c r="FT29" s="78"/>
      <c r="FU29" s="78"/>
      <c r="FV29" s="78"/>
      <c r="FW29" s="78"/>
      <c r="FX29" s="78"/>
      <c r="FY29" s="78"/>
      <c r="FZ29" s="78"/>
      <c r="GA29" s="78"/>
      <c r="GB29" s="78"/>
      <c r="GC29" s="78"/>
      <c r="GD29" s="78"/>
      <c r="GE29" s="78"/>
      <c r="GF29" s="78"/>
      <c r="GG29" s="78"/>
      <c r="GH29" s="78"/>
      <c r="GI29" s="78"/>
      <c r="GJ29" s="78"/>
      <c r="GK29" s="78"/>
      <c r="GL29" s="78"/>
      <c r="GM29" s="78"/>
      <c r="GN29" s="78"/>
      <c r="GO29" s="78"/>
      <c r="GP29" s="78"/>
      <c r="GQ29" s="78"/>
      <c r="GR29" s="78"/>
      <c r="GS29" s="78"/>
      <c r="GT29" s="78"/>
      <c r="GU29" s="78"/>
      <c r="GV29" s="78"/>
      <c r="GW29" s="78"/>
      <c r="GX29" s="78"/>
      <c r="GY29" s="78"/>
      <c r="GZ29" s="78"/>
      <c r="HA29" s="198"/>
    </row>
    <row r="30" ht="15.75" customHeight="1">
      <c r="A30" s="114"/>
      <c r="B30" s="82"/>
      <c r="C30" s="144">
        <v>2.0</v>
      </c>
      <c r="D30" s="102" t="s">
        <v>145</v>
      </c>
      <c r="E30" s="80" t="s">
        <v>19</v>
      </c>
      <c r="F30" s="198"/>
      <c r="G30" s="199">
        <f>Metrika!G31/Metrika!G30</f>
        <v>0.8958333333</v>
      </c>
      <c r="H30" s="200">
        <f>Metrika!H31/Metrika!H30</f>
        <v>0.8958333333</v>
      </c>
      <c r="I30" s="201">
        <f>Metrika!I31/Metrika!I30</f>
        <v>0.8958333333</v>
      </c>
      <c r="J30" s="202">
        <f>Metrika!J31/Metrika!J30</f>
        <v>0.9464285714</v>
      </c>
      <c r="K30" s="203">
        <f>Metrika!K31/Metrika!K30</f>
        <v>0.9107142857</v>
      </c>
      <c r="L30" s="204">
        <f>Metrika!L31/Metrika!L30</f>
        <v>0.8571428571</v>
      </c>
      <c r="M30" s="204">
        <f>Metrika!M31/Metrika!M30</f>
        <v>0.9642857143</v>
      </c>
      <c r="N30" s="204">
        <f>Metrika!N31/Metrika!N30</f>
        <v>0.8928571429</v>
      </c>
      <c r="O30" s="204">
        <f>Metrika!O31/Metrika!O30</f>
        <v>0.9285714286</v>
      </c>
      <c r="P30" s="203">
        <f>Metrika!P31/Metrika!P30</f>
        <v>0.9464285714</v>
      </c>
      <c r="Q30" s="204">
        <f>Metrika!Q31/Metrika!Q30</f>
        <v>0.9285714286</v>
      </c>
      <c r="R30" s="204">
        <f>Metrika!R31/Metrika!R30</f>
        <v>0.8928571429</v>
      </c>
      <c r="S30" s="204">
        <f>Metrika!S31/Metrika!S30</f>
        <v>0.9642857143</v>
      </c>
      <c r="T30" s="204">
        <f>Metrika!T31/Metrika!T30</f>
        <v>1</v>
      </c>
      <c r="U30" s="203">
        <f>Metrika!U31/Metrika!U30</f>
        <v>0.9821428571</v>
      </c>
      <c r="V30" s="204">
        <f>Metrika!V31/Metrika!V30</f>
        <v>0.9642857143</v>
      </c>
      <c r="W30" s="204">
        <f>Metrika!W31/Metrika!W30</f>
        <v>1</v>
      </c>
      <c r="X30" s="204">
        <f>Metrika!X31/Metrika!X30</f>
        <v>1.035714286</v>
      </c>
      <c r="Y30" s="204">
        <f>Metrika!Y31/Metrika!Y30</f>
        <v>0.9285714286</v>
      </c>
      <c r="Z30" s="202">
        <f>Metrika!Z31/Metrika!Z30</f>
        <v>0.8452380952</v>
      </c>
      <c r="AA30" s="203">
        <f>Metrika!AA31/Metrika!AA30</f>
        <v>0.8392857143</v>
      </c>
      <c r="AB30" s="204">
        <f>Metrika!AB31/Metrika!AB30</f>
        <v>0.7142857143</v>
      </c>
      <c r="AC30" s="204">
        <f>Metrika!AC31/Metrika!AC30</f>
        <v>0.8214285714</v>
      </c>
      <c r="AD30" s="204">
        <f>Metrika!AD31/Metrika!AD30</f>
        <v>0.8571428571</v>
      </c>
      <c r="AE30" s="204">
        <f>Metrika!AE31/Metrika!AE30</f>
        <v>0.9642857143</v>
      </c>
      <c r="AF30" s="203">
        <f>Metrika!AF31/Metrika!AF30</f>
        <v>0.8571428571</v>
      </c>
      <c r="AG30" s="204">
        <f>Metrika!AG31/Metrika!AG30</f>
        <v>0.8928571429</v>
      </c>
      <c r="AH30" s="204">
        <f>Metrika!AH31/Metrika!AH30</f>
        <v>0.8214285714</v>
      </c>
      <c r="AI30" s="204">
        <f>Metrika!AI31/Metrika!AI30</f>
        <v>0.7857142857</v>
      </c>
      <c r="AJ30" s="204">
        <f>Metrika!AJ31/Metrika!AJ30</f>
        <v>0.9285714286</v>
      </c>
      <c r="AK30" s="203">
        <f>Metrika!AK31/Metrika!AK30</f>
        <v>0.8392857143</v>
      </c>
      <c r="AL30" s="204">
        <f>Metrika!AL31/Metrika!AL30</f>
        <v>0.8571428571</v>
      </c>
      <c r="AM30" s="204">
        <f>Metrika!AM31/Metrika!AM30</f>
        <v>0.9285714286</v>
      </c>
      <c r="AN30" s="204">
        <f>Metrika!AN31/Metrika!AN30</f>
        <v>0.8214285714</v>
      </c>
      <c r="AO30" s="204">
        <f>Metrika!AO31/Metrika!AO30</f>
        <v>0.75</v>
      </c>
      <c r="AP30" s="201">
        <f>Metrika!AP31/Metrika!AP30</f>
        <v>0.8958333333</v>
      </c>
      <c r="AQ30" s="202">
        <f>Metrika!AQ31/Metrika!AQ30</f>
        <v>0.8452380952</v>
      </c>
      <c r="AR30" s="203">
        <f>Metrika!AR31/Metrika!AR30</f>
        <v>0.8392857143</v>
      </c>
      <c r="AS30" s="204">
        <f>Metrika!AS31/Metrika!AS30</f>
        <v>0.8571428571</v>
      </c>
      <c r="AT30" s="204">
        <f>Metrika!AT31/Metrika!AT30</f>
        <v>0.9285714286</v>
      </c>
      <c r="AU30" s="204">
        <f>Metrika!AU31/Metrika!AU30</f>
        <v>0.8214285714</v>
      </c>
      <c r="AV30" s="204">
        <f>Metrika!AV31/Metrika!AV30</f>
        <v>0.75</v>
      </c>
      <c r="AW30" s="203">
        <f>Metrika!AW31/Metrika!AW30</f>
        <v>0.8392857143</v>
      </c>
      <c r="AX30" s="204">
        <f>Metrika!AX31/Metrika!AX30</f>
        <v>0.7142857143</v>
      </c>
      <c r="AY30" s="204">
        <f>Metrika!AY31/Metrika!AY30</f>
        <v>0.8214285714</v>
      </c>
      <c r="AZ30" s="204">
        <f>Metrika!AZ31/Metrika!AZ30</f>
        <v>0.8571428571</v>
      </c>
      <c r="BA30" s="204">
        <f>Metrika!BA31/Metrika!BA30</f>
        <v>0.9642857143</v>
      </c>
      <c r="BB30" s="203">
        <f>Metrika!BB31/Metrika!BB30</f>
        <v>0.8571428571</v>
      </c>
      <c r="BC30" s="204">
        <f>Metrika!BC31/Metrika!BC30</f>
        <v>0.8928571429</v>
      </c>
      <c r="BD30" s="204">
        <f>Metrika!BD31/Metrika!BD30</f>
        <v>0.8214285714</v>
      </c>
      <c r="BE30" s="204">
        <f>Metrika!BE31/Metrika!BE30</f>
        <v>0.7857142857</v>
      </c>
      <c r="BF30" s="204">
        <f>Metrika!BF31/Metrika!BF30</f>
        <v>0.9285714286</v>
      </c>
      <c r="BG30" s="202">
        <f>Metrika!BG31/Metrika!BG30</f>
        <v>0.9464285714</v>
      </c>
      <c r="BH30" s="203">
        <f>Metrika!BH31/Metrika!BH30</f>
        <v>0.9464285714</v>
      </c>
      <c r="BI30" s="204">
        <f>Metrika!BI31/Metrika!BI30</f>
        <v>0.9285714286</v>
      </c>
      <c r="BJ30" s="204">
        <f>Metrika!BJ31/Metrika!BJ30</f>
        <v>0.8928571429</v>
      </c>
      <c r="BK30" s="204">
        <f>Metrika!BK31/Metrika!BK30</f>
        <v>0.9642857143</v>
      </c>
      <c r="BL30" s="204">
        <f>Metrika!BL31/Metrika!BL30</f>
        <v>1</v>
      </c>
      <c r="BM30" s="203">
        <f>Metrika!BM31/Metrika!BM30</f>
        <v>0.9821428571</v>
      </c>
      <c r="BN30" s="204">
        <f>Metrika!BN31/Metrika!BN30</f>
        <v>0.9642857143</v>
      </c>
      <c r="BO30" s="204">
        <f>Metrika!BO31/Metrika!BO30</f>
        <v>1</v>
      </c>
      <c r="BP30" s="204">
        <f>Metrika!BP31/Metrika!BP30</f>
        <v>1.035714286</v>
      </c>
      <c r="BQ30" s="204">
        <f>Metrika!BQ31/Metrika!BQ30</f>
        <v>0.9285714286</v>
      </c>
      <c r="BR30" s="203">
        <f>Metrika!BR31/Metrika!BR30</f>
        <v>0.9107142857</v>
      </c>
      <c r="BS30" s="204">
        <f>Metrika!BS31/Metrika!BS30</f>
        <v>0.8571428571</v>
      </c>
      <c r="BT30" s="204">
        <f>Metrika!BT31/Metrika!BT30</f>
        <v>0.9642857143</v>
      </c>
      <c r="BU30" s="204">
        <f>Metrika!BU31/Metrika!BU30</f>
        <v>0.8928571429</v>
      </c>
      <c r="BV30" s="204">
        <f>Metrika!BV31/Metrika!BV30</f>
        <v>0.9285714286</v>
      </c>
      <c r="BW30" s="200">
        <f>Metrika!BW31/Metrika!BW30</f>
        <v>0.8958333333</v>
      </c>
      <c r="BX30" s="201">
        <f>Metrika!BX31/Metrika!BX30</f>
        <v>0.8958333333</v>
      </c>
      <c r="BY30" s="202">
        <f>Metrika!BY31/Metrika!BY30</f>
        <v>0.8452380952</v>
      </c>
      <c r="BZ30" s="203">
        <f>Metrika!BZ31/Metrika!BZ30</f>
        <v>0.8571428571</v>
      </c>
      <c r="CA30" s="204">
        <f>Metrika!CA31/Metrika!CA30</f>
        <v>0.8928571429</v>
      </c>
      <c r="CB30" s="204">
        <f>Metrika!CB31/Metrika!CB30</f>
        <v>0.8214285714</v>
      </c>
      <c r="CC30" s="204">
        <f>Metrika!CC31/Metrika!CC30</f>
        <v>0.7857142857</v>
      </c>
      <c r="CD30" s="204">
        <f>Metrika!CD31/Metrika!CD30</f>
        <v>0.9285714286</v>
      </c>
      <c r="CE30" s="203">
        <f>Metrika!CE31/Metrika!CE30</f>
        <v>0.8392857143</v>
      </c>
      <c r="CF30" s="204">
        <f>Metrika!CF31/Metrika!CF30</f>
        <v>0.8571428571</v>
      </c>
      <c r="CG30" s="204">
        <f>Metrika!CG31/Metrika!CG30</f>
        <v>0.9285714286</v>
      </c>
      <c r="CH30" s="204">
        <f>Metrika!CH31/Metrika!CH30</f>
        <v>0.8214285714</v>
      </c>
      <c r="CI30" s="204">
        <f>Metrika!CI31/Metrika!CI30</f>
        <v>0.75</v>
      </c>
      <c r="CJ30" s="203">
        <f>Metrika!CJ31/Metrika!CJ30</f>
        <v>0.8392857143</v>
      </c>
      <c r="CK30" s="204">
        <f>Metrika!CK31/Metrika!CK30</f>
        <v>0.7142857143</v>
      </c>
      <c r="CL30" s="204">
        <f>Metrika!CL31/Metrika!CL30</f>
        <v>0.8214285714</v>
      </c>
      <c r="CM30" s="204">
        <f>Metrika!CM31/Metrika!CM30</f>
        <v>0.8571428571</v>
      </c>
      <c r="CN30" s="204">
        <f>Metrika!CN31/Metrika!CN30</f>
        <v>0.9642857143</v>
      </c>
      <c r="CO30" s="202">
        <f>Metrika!CO31/Metrika!CO30</f>
        <v>0.9464285714</v>
      </c>
      <c r="CP30" s="203">
        <f>Metrika!CP31/Metrika!CP30</f>
        <v>0.9107142857</v>
      </c>
      <c r="CQ30" s="204">
        <f>Metrika!CQ31/Metrika!CQ30</f>
        <v>0.8571428571</v>
      </c>
      <c r="CR30" s="204">
        <f>Metrika!CR31/Metrika!CR30</f>
        <v>0.9642857143</v>
      </c>
      <c r="CS30" s="204">
        <f>Metrika!CS31/Metrika!CS30</f>
        <v>0.8928571429</v>
      </c>
      <c r="CT30" s="204">
        <f>Metrika!CT31/Metrika!CT30</f>
        <v>0.9285714286</v>
      </c>
      <c r="CU30" s="203">
        <f>Metrika!CU31/Metrika!CU30</f>
        <v>0.9464285714</v>
      </c>
      <c r="CV30" s="204">
        <f>Metrika!CV31/Metrika!CV30</f>
        <v>0.9285714286</v>
      </c>
      <c r="CW30" s="204">
        <f>Metrika!CW31/Metrika!CW30</f>
        <v>0.8928571429</v>
      </c>
      <c r="CX30" s="204">
        <f>Metrika!CX31/Metrika!CX30</f>
        <v>0.9642857143</v>
      </c>
      <c r="CY30" s="204">
        <f>Metrika!CY31/Metrika!CY30</f>
        <v>1</v>
      </c>
      <c r="CZ30" s="203">
        <f>Metrika!CZ31/Metrika!CZ30</f>
        <v>0.9821428571</v>
      </c>
      <c r="DA30" s="204">
        <f>Metrika!DA31/Metrika!DA30</f>
        <v>0.9642857143</v>
      </c>
      <c r="DB30" s="204">
        <f>Metrika!DB31/Metrika!DB30</f>
        <v>1</v>
      </c>
      <c r="DC30" s="204">
        <f>Metrika!DC31/Metrika!DC30</f>
        <v>1.035714286</v>
      </c>
      <c r="DD30" s="204">
        <f>Metrika!DD31/Metrika!DD30</f>
        <v>0.9285714286</v>
      </c>
      <c r="DE30" s="201">
        <f>Metrika!DE31/Metrika!DE30</f>
        <v>0.8958333333</v>
      </c>
      <c r="DF30" s="202">
        <f>Metrika!DF31/Metrika!DF30</f>
        <v>0.9464285714</v>
      </c>
      <c r="DG30" s="203">
        <f>Metrika!DG31/Metrika!DG30</f>
        <v>0.9821428571</v>
      </c>
      <c r="DH30" s="204">
        <f>Metrika!DH31/Metrika!DH30</f>
        <v>0.9642857143</v>
      </c>
      <c r="DI30" s="204">
        <f>Metrika!DI31/Metrika!DI30</f>
        <v>1</v>
      </c>
      <c r="DJ30" s="204">
        <f>Metrika!DJ31/Metrika!DJ30</f>
        <v>1.035714286</v>
      </c>
      <c r="DK30" s="204">
        <f>Metrika!DK31/Metrika!DK30</f>
        <v>0.9285714286</v>
      </c>
      <c r="DL30" s="203">
        <f>Metrika!DL31/Metrika!DL30</f>
        <v>0.9107142857</v>
      </c>
      <c r="DM30" s="204">
        <f>Metrika!DM31/Metrika!DM30</f>
        <v>0.8571428571</v>
      </c>
      <c r="DN30" s="204">
        <f>Metrika!DN31/Metrika!DN30</f>
        <v>0.9642857143</v>
      </c>
      <c r="DO30" s="204">
        <f>Metrika!DO31/Metrika!DO30</f>
        <v>0.8928571429</v>
      </c>
      <c r="DP30" s="204">
        <f>Metrika!DP31/Metrika!DP30</f>
        <v>0.9285714286</v>
      </c>
      <c r="DQ30" s="203">
        <f>Metrika!DQ31/Metrika!DQ30</f>
        <v>0.9464285714</v>
      </c>
      <c r="DR30" s="204">
        <f>Metrika!DR31/Metrika!DR30</f>
        <v>0.9285714286</v>
      </c>
      <c r="DS30" s="204">
        <f>Metrika!DS31/Metrika!DS30</f>
        <v>0.8928571429</v>
      </c>
      <c r="DT30" s="204">
        <f>Metrika!DT31/Metrika!DT30</f>
        <v>0.9642857143</v>
      </c>
      <c r="DU30" s="204">
        <f>Metrika!DU31/Metrika!DU30</f>
        <v>1</v>
      </c>
      <c r="DV30" s="202">
        <f>Metrika!DV31/Metrika!DV30</f>
        <v>0.8452380952</v>
      </c>
      <c r="DW30" s="203">
        <f>Metrika!DW31/Metrika!DW30</f>
        <v>0.8392857143</v>
      </c>
      <c r="DX30" s="204">
        <f>Metrika!DX31/Metrika!DX30</f>
        <v>0.8571428571</v>
      </c>
      <c r="DY30" s="204">
        <f>Metrika!DY31/Metrika!DY30</f>
        <v>0.9285714286</v>
      </c>
      <c r="DZ30" s="204">
        <f>Metrika!DZ31/Metrika!DZ30</f>
        <v>0.8214285714</v>
      </c>
      <c r="EA30" s="204">
        <f>Metrika!EA31/Metrika!EA30</f>
        <v>0.75</v>
      </c>
      <c r="EB30" s="203">
        <f>Metrika!EB31/Metrika!EB30</f>
        <v>0.8571428571</v>
      </c>
      <c r="EC30" s="204">
        <f>Metrika!EC31/Metrika!EC30</f>
        <v>0.8928571429</v>
      </c>
      <c r="ED30" s="204">
        <f>Metrika!ED31/Metrika!ED30</f>
        <v>0.8214285714</v>
      </c>
      <c r="EE30" s="204">
        <f>Metrika!EE31/Metrika!EE30</f>
        <v>0.7857142857</v>
      </c>
      <c r="EF30" s="204">
        <f>Metrika!EF31/Metrika!EF30</f>
        <v>0.9285714286</v>
      </c>
      <c r="EG30" s="203">
        <f>Metrika!EG31/Metrika!EG30</f>
        <v>0.8392857143</v>
      </c>
      <c r="EH30" s="204">
        <f>Metrika!EH31/Metrika!EH30</f>
        <v>0.7142857143</v>
      </c>
      <c r="EI30" s="204">
        <f>Metrika!EI31/Metrika!EI30</f>
        <v>0.8214285714</v>
      </c>
      <c r="EJ30" s="204">
        <f>Metrika!EJ31/Metrika!EJ30</f>
        <v>0.8571428571</v>
      </c>
      <c r="EK30" s="204">
        <f>Metrika!EK31/Metrika!EK30</f>
        <v>0.9642857143</v>
      </c>
      <c r="EL30" s="200">
        <f>Metrika!EL31/Metrika!EL30</f>
        <v>0.8958333333</v>
      </c>
      <c r="EM30" s="201">
        <f>Metrika!EM31/Metrika!EM30</f>
        <v>0.8958333333</v>
      </c>
      <c r="EN30" s="202">
        <f>Metrika!EN31/Metrika!EN30</f>
        <v>0.8452380952</v>
      </c>
      <c r="EO30" s="203">
        <f>Metrika!EO31/Metrika!EO30</f>
        <v>0.8571428571</v>
      </c>
      <c r="EP30" s="204">
        <f>Metrika!EP31/Metrika!EP30</f>
        <v>0.8928571429</v>
      </c>
      <c r="EQ30" s="204">
        <f>Metrika!EQ31/Metrika!EQ30</f>
        <v>0.8214285714</v>
      </c>
      <c r="ER30" s="204">
        <f>Metrika!ER31/Metrika!ER30</f>
        <v>0.7857142857</v>
      </c>
      <c r="ES30" s="204">
        <f>Metrika!ES31/Metrika!ES30</f>
        <v>0.9285714286</v>
      </c>
      <c r="ET30" s="203">
        <f>Metrika!ET31/Metrika!ET30</f>
        <v>0.8392857143</v>
      </c>
      <c r="EU30" s="204">
        <f>Metrika!EU31/Metrika!EU30</f>
        <v>0.7142857143</v>
      </c>
      <c r="EV30" s="204">
        <f>Metrika!EV31/Metrika!EV30</f>
        <v>0.8214285714</v>
      </c>
      <c r="EW30" s="204">
        <f>Metrika!EW31/Metrika!EW30</f>
        <v>0.8571428571</v>
      </c>
      <c r="EX30" s="204">
        <f>Metrika!EX31/Metrika!EX30</f>
        <v>0.9642857143</v>
      </c>
      <c r="EY30" s="203">
        <f>Metrika!EY31/Metrika!EY30</f>
        <v>0.8392857143</v>
      </c>
      <c r="EZ30" s="204">
        <f>Metrika!EZ31/Metrika!EZ30</f>
        <v>0.8571428571</v>
      </c>
      <c r="FA30" s="204">
        <f>Metrika!FA31/Metrika!FA30</f>
        <v>0.9285714286</v>
      </c>
      <c r="FB30" s="204">
        <f>Metrika!FB31/Metrika!FB30</f>
        <v>0.8214285714</v>
      </c>
      <c r="FC30" s="204">
        <f>Metrika!FC31/Metrika!FC30</f>
        <v>0.75</v>
      </c>
      <c r="FD30" s="202">
        <f>Metrika!FD31/Metrika!FD30</f>
        <v>0.9464285714</v>
      </c>
      <c r="FE30" s="203">
        <f>Metrika!FE31/Metrika!FE30</f>
        <v>0.9107142857</v>
      </c>
      <c r="FF30" s="204">
        <f>Metrika!FF31/Metrika!FF30</f>
        <v>0.8571428571</v>
      </c>
      <c r="FG30" s="204">
        <f>Metrika!FG31/Metrika!FG30</f>
        <v>0.9642857143</v>
      </c>
      <c r="FH30" s="204">
        <f>Metrika!FH31/Metrika!FH30</f>
        <v>0.8928571429</v>
      </c>
      <c r="FI30" s="204">
        <f>Metrika!FI31/Metrika!FI30</f>
        <v>0.9285714286</v>
      </c>
      <c r="FJ30" s="203">
        <f>Metrika!FJ31/Metrika!FJ30</f>
        <v>0.9464285714</v>
      </c>
      <c r="FK30" s="204">
        <f>Metrika!FK31/Metrika!FK30</f>
        <v>0.9285714286</v>
      </c>
      <c r="FL30" s="204">
        <f>Metrika!FL31/Metrika!FL30</f>
        <v>0.8928571429</v>
      </c>
      <c r="FM30" s="204">
        <f>Metrika!FM31/Metrika!FM30</f>
        <v>0.9642857143</v>
      </c>
      <c r="FN30" s="204">
        <f>Metrika!FN31/Metrika!FN30</f>
        <v>1</v>
      </c>
      <c r="FO30" s="203">
        <f>Metrika!FO31/Metrika!FO30</f>
        <v>0.9821428571</v>
      </c>
      <c r="FP30" s="204">
        <f>Metrika!FP31/Metrika!FP30</f>
        <v>0.9642857143</v>
      </c>
      <c r="FQ30" s="204">
        <f>Metrika!FQ31/Metrika!FQ30</f>
        <v>1</v>
      </c>
      <c r="FR30" s="204">
        <f>Metrika!FR31/Metrika!FR30</f>
        <v>1.035714286</v>
      </c>
      <c r="FS30" s="204">
        <f>Metrika!FS31/Metrika!FS30</f>
        <v>0.9285714286</v>
      </c>
      <c r="FT30" s="201">
        <f>Metrika!FT31/Metrika!FT30</f>
        <v>0.8958333333</v>
      </c>
      <c r="FU30" s="202">
        <f>Metrika!FU31/Metrika!FU30</f>
        <v>0.9464285714</v>
      </c>
      <c r="FV30" s="203">
        <f>Metrika!FV31/Metrika!FV30</f>
        <v>0.9821428571</v>
      </c>
      <c r="FW30" s="204">
        <f>Metrika!FW31/Metrika!FW30</f>
        <v>0.9642857143</v>
      </c>
      <c r="FX30" s="204">
        <f>Metrika!FX31/Metrika!FX30</f>
        <v>1</v>
      </c>
      <c r="FY30" s="204">
        <f>Metrika!FY31/Metrika!FY30</f>
        <v>1.035714286</v>
      </c>
      <c r="FZ30" s="204">
        <f>Metrika!FZ31/Metrika!FZ30</f>
        <v>0.9285714286</v>
      </c>
      <c r="GA30" s="203">
        <f>Metrika!GA31/Metrika!GA30</f>
        <v>0.9107142857</v>
      </c>
      <c r="GB30" s="204">
        <f>Metrika!GB31/Metrika!GB30</f>
        <v>0.8571428571</v>
      </c>
      <c r="GC30" s="204">
        <f>Metrika!GC31/Metrika!GC30</f>
        <v>0.9642857143</v>
      </c>
      <c r="GD30" s="204">
        <f>Metrika!GD31/Metrika!GD30</f>
        <v>0.8928571429</v>
      </c>
      <c r="GE30" s="204">
        <f>Metrika!GE31/Metrika!GE30</f>
        <v>0.9285714286</v>
      </c>
      <c r="GF30" s="203">
        <f>Metrika!GF31/Metrika!GF30</f>
        <v>0.9464285714</v>
      </c>
      <c r="GG30" s="204">
        <f>Metrika!GG31/Metrika!GG30</f>
        <v>0.9285714286</v>
      </c>
      <c r="GH30" s="204">
        <f>Metrika!GH31/Metrika!GH30</f>
        <v>0.8928571429</v>
      </c>
      <c r="GI30" s="204">
        <f>Metrika!GI31/Metrika!GI30</f>
        <v>0.9642857143</v>
      </c>
      <c r="GJ30" s="204">
        <f>Metrika!GJ31/Metrika!GJ30</f>
        <v>1</v>
      </c>
      <c r="GK30" s="202">
        <f>Metrika!GK31/Metrika!GK30</f>
        <v>0.8452380952</v>
      </c>
      <c r="GL30" s="203">
        <f>Metrika!GL31/Metrika!GL30</f>
        <v>0.8392857143</v>
      </c>
      <c r="GM30" s="204">
        <f>Metrika!GM31/Metrika!GM30</f>
        <v>0.7142857143</v>
      </c>
      <c r="GN30" s="204">
        <f>Metrika!GN31/Metrika!GN30</f>
        <v>0.8214285714</v>
      </c>
      <c r="GO30" s="204">
        <f>Metrika!GO31/Metrika!GO30</f>
        <v>0.8571428571</v>
      </c>
      <c r="GP30" s="204">
        <f>Metrika!GP31/Metrika!GP30</f>
        <v>0.9642857143</v>
      </c>
      <c r="GQ30" s="203">
        <f>Metrika!GQ31/Metrika!GQ30</f>
        <v>0.8571428571</v>
      </c>
      <c r="GR30" s="204">
        <f>Metrika!GR31/Metrika!GR30</f>
        <v>0.8928571429</v>
      </c>
      <c r="GS30" s="204">
        <f>Metrika!GS31/Metrika!GS30</f>
        <v>0.8214285714</v>
      </c>
      <c r="GT30" s="204">
        <f>Metrika!GT31/Metrika!GT30</f>
        <v>0.7857142857</v>
      </c>
      <c r="GU30" s="204">
        <f>Metrika!GU31/Metrika!GU30</f>
        <v>0.9285714286</v>
      </c>
      <c r="GV30" s="203">
        <f>Metrika!GV31/Metrika!GV30</f>
        <v>0.8392857143</v>
      </c>
      <c r="GW30" s="204">
        <f>Metrika!GW31/Metrika!GW30</f>
        <v>0.8571428571</v>
      </c>
      <c r="GX30" s="204">
        <f>Metrika!GX31/Metrika!GX30</f>
        <v>0.9285714286</v>
      </c>
      <c r="GY30" s="204">
        <f>Metrika!GY31/Metrika!GY30</f>
        <v>0.8214285714</v>
      </c>
      <c r="GZ30" s="204">
        <f>Metrika!GZ31/Metrika!GZ30</f>
        <v>0.75</v>
      </c>
      <c r="HA30" s="198"/>
    </row>
    <row r="31" ht="15.75" customHeight="1">
      <c r="A31" s="114"/>
      <c r="B31" s="82"/>
      <c r="C31" s="78"/>
      <c r="D31" s="78"/>
      <c r="E31" s="80" t="s">
        <v>26</v>
      </c>
      <c r="F31" s="198"/>
      <c r="G31" s="78"/>
      <c r="H31" s="78"/>
      <c r="I31" s="78"/>
      <c r="J31" s="78"/>
      <c r="K31" s="78"/>
      <c r="L31" s="78"/>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78"/>
      <c r="EJ31" s="78"/>
      <c r="EK31" s="78"/>
      <c r="EL31" s="78"/>
      <c r="EM31" s="78"/>
      <c r="EN31" s="78"/>
      <c r="EO31" s="78"/>
      <c r="EP31" s="78"/>
      <c r="EQ31" s="78"/>
      <c r="ER31" s="78"/>
      <c r="ES31" s="78"/>
      <c r="ET31" s="78"/>
      <c r="EU31" s="78"/>
      <c r="EV31" s="78"/>
      <c r="EW31" s="78"/>
      <c r="EX31" s="78"/>
      <c r="EY31" s="78"/>
      <c r="EZ31" s="78"/>
      <c r="FA31" s="78"/>
      <c r="FB31" s="78"/>
      <c r="FC31" s="78"/>
      <c r="FD31" s="78"/>
      <c r="FE31" s="78"/>
      <c r="FF31" s="78"/>
      <c r="FG31" s="78"/>
      <c r="FH31" s="78"/>
      <c r="FI31" s="78"/>
      <c r="FJ31" s="78"/>
      <c r="FK31" s="78"/>
      <c r="FL31" s="78"/>
      <c r="FM31" s="78"/>
      <c r="FN31" s="78"/>
      <c r="FO31" s="78"/>
      <c r="FP31" s="78"/>
      <c r="FQ31" s="78"/>
      <c r="FR31" s="78"/>
      <c r="FS31" s="78"/>
      <c r="FT31" s="78"/>
      <c r="FU31" s="78"/>
      <c r="FV31" s="78"/>
      <c r="FW31" s="78"/>
      <c r="FX31" s="78"/>
      <c r="FY31" s="78"/>
      <c r="FZ31" s="78"/>
      <c r="GA31" s="78"/>
      <c r="GB31" s="78"/>
      <c r="GC31" s="78"/>
      <c r="GD31" s="78"/>
      <c r="GE31" s="78"/>
      <c r="GF31" s="78"/>
      <c r="GG31" s="78"/>
      <c r="GH31" s="78"/>
      <c r="GI31" s="78"/>
      <c r="GJ31" s="78"/>
      <c r="GK31" s="78"/>
      <c r="GL31" s="78"/>
      <c r="GM31" s="78"/>
      <c r="GN31" s="78"/>
      <c r="GO31" s="78"/>
      <c r="GP31" s="78"/>
      <c r="GQ31" s="78"/>
      <c r="GR31" s="78"/>
      <c r="GS31" s="78"/>
      <c r="GT31" s="78"/>
      <c r="GU31" s="78"/>
      <c r="GV31" s="78"/>
      <c r="GW31" s="78"/>
      <c r="GX31" s="78"/>
      <c r="GY31" s="78"/>
      <c r="GZ31" s="78"/>
      <c r="HA31" s="198"/>
    </row>
    <row r="32" ht="15.75" customHeight="1">
      <c r="A32" s="114"/>
      <c r="B32" s="82"/>
      <c r="C32" s="144">
        <v>3.0</v>
      </c>
      <c r="D32" s="145" t="s">
        <v>166</v>
      </c>
      <c r="E32" s="80" t="s">
        <v>19</v>
      </c>
      <c r="F32" s="198"/>
      <c r="G32" s="199">
        <f>Metrika!G33/Metrika!G32</f>
        <v>0.7704613095</v>
      </c>
      <c r="H32" s="200">
        <f>Metrika!H33/Metrika!H32</f>
        <v>0.7693452381</v>
      </c>
      <c r="I32" s="201">
        <f>Metrika!I33/Metrika!I32</f>
        <v>0.7687872024</v>
      </c>
      <c r="J32" s="202">
        <f>Metrika!J33/Metrika!J32</f>
        <v>0.8210565476</v>
      </c>
      <c r="K32" s="203">
        <f>Metrika!K33/Metrika!K32</f>
        <v>0.96875</v>
      </c>
      <c r="L32" s="204">
        <f>Metrika!L33/Metrika!L32</f>
        <v>0.9464285714</v>
      </c>
      <c r="M32" s="204">
        <f>Metrika!M33/Metrika!M32</f>
        <v>0.9553571429</v>
      </c>
      <c r="N32" s="204">
        <f>Metrika!N33/Metrika!N32</f>
        <v>0.9553571429</v>
      </c>
      <c r="O32" s="204">
        <f>Metrika!O33/Metrika!O32</f>
        <v>1.017857143</v>
      </c>
      <c r="P32" s="203">
        <f>Metrika!P33/Metrika!P32</f>
        <v>0</v>
      </c>
      <c r="Q32" s="204">
        <f>Metrika!Q33/Metrika!Q32</f>
        <v>0.9464285714</v>
      </c>
      <c r="R32" s="204">
        <f>Metrika!R33/Metrika!R32</f>
        <v>0.9910714286</v>
      </c>
      <c r="S32" s="204">
        <f>Metrika!S33/Metrika!S32</f>
        <v>0.9821428571</v>
      </c>
      <c r="T32" s="204">
        <f>Metrika!T33/Metrika!T32</f>
        <v>0.9821428571</v>
      </c>
      <c r="U32" s="203">
        <f>Metrika!U33/Metrika!U32</f>
        <v>1.006696429</v>
      </c>
      <c r="V32" s="204">
        <f>Metrika!V33/Metrika!V32</f>
        <v>1.008928571</v>
      </c>
      <c r="W32" s="204">
        <f>Metrika!W33/Metrika!W32</f>
        <v>0.9821428571</v>
      </c>
      <c r="X32" s="204">
        <f>Metrika!X33/Metrika!X32</f>
        <v>1</v>
      </c>
      <c r="Y32" s="204">
        <f>Metrika!Y33/Metrika!Y32</f>
        <v>1.035714286</v>
      </c>
      <c r="Z32" s="202">
        <f>Metrika!Z33/Metrika!Z32</f>
        <v>0.7165178571</v>
      </c>
      <c r="AA32" s="203">
        <f>Metrika!AA33/Metrika!AA32</f>
        <v>0.8526785714</v>
      </c>
      <c r="AB32" s="204">
        <f>Metrika!AB33/Metrika!AB32</f>
        <v>0.8928571429</v>
      </c>
      <c r="AC32" s="204">
        <f>Metrika!AC33/Metrika!AC32</f>
        <v>0.8482142857</v>
      </c>
      <c r="AD32" s="204">
        <f>Metrika!AD33/Metrika!AD32</f>
        <v>0.8214285714</v>
      </c>
      <c r="AE32" s="204">
        <f>Metrika!AE33/Metrika!AE32</f>
        <v>0.8482142857</v>
      </c>
      <c r="AF32" s="203">
        <f>Metrika!AF33/Metrika!AF32</f>
        <v>0</v>
      </c>
      <c r="AG32" s="204">
        <f>Metrika!AG33/Metrika!AG32</f>
        <v>0.8839285714</v>
      </c>
      <c r="AH32" s="204">
        <f>Metrika!AH33/Metrika!AH32</f>
        <v>0.8928571429</v>
      </c>
      <c r="AI32" s="204">
        <f>Metrika!AI33/Metrika!AI32</f>
        <v>0.9196428571</v>
      </c>
      <c r="AJ32" s="204">
        <f>Metrika!AJ33/Metrika!AJ32</f>
        <v>0.8928571429</v>
      </c>
      <c r="AK32" s="203">
        <f>Metrika!AK33/Metrika!AK32</f>
        <v>0.8482142857</v>
      </c>
      <c r="AL32" s="204">
        <f>Metrika!AL33/Metrika!AL32</f>
        <v>0.8482142857</v>
      </c>
      <c r="AM32" s="204">
        <f>Metrika!AM33/Metrika!AM32</f>
        <v>0.8125</v>
      </c>
      <c r="AN32" s="204">
        <f>Metrika!AN33/Metrika!AN32</f>
        <v>0.8303571429</v>
      </c>
      <c r="AO32" s="204">
        <f>Metrika!AO33/Metrika!AO32</f>
        <v>0.9017857143</v>
      </c>
      <c r="AP32" s="201">
        <f>Metrika!AP33/Metrika!AP32</f>
        <v>0.7699032738</v>
      </c>
      <c r="AQ32" s="202">
        <f>Metrika!AQ33/Metrika!AQ32</f>
        <v>0.7239583333</v>
      </c>
      <c r="AR32" s="203">
        <f>Metrika!AR33/Metrika!AR32</f>
        <v>0.8482142857</v>
      </c>
      <c r="AS32" s="204">
        <f>Metrika!AS33/Metrika!AS32</f>
        <v>0.8482142857</v>
      </c>
      <c r="AT32" s="204">
        <f>Metrika!AT33/Metrika!AT32</f>
        <v>0.8125</v>
      </c>
      <c r="AU32" s="204">
        <f>Metrika!AU33/Metrika!AU32</f>
        <v>0.8303571429</v>
      </c>
      <c r="AV32" s="204">
        <f>Metrika!AV33/Metrika!AV32</f>
        <v>0.9017857143</v>
      </c>
      <c r="AW32" s="203">
        <f>Metrika!AW33/Metrika!AW32</f>
        <v>0</v>
      </c>
      <c r="AX32" s="204">
        <f>Metrika!AX33/Metrika!AX32</f>
        <v>0.8928571429</v>
      </c>
      <c r="AY32" s="204">
        <f>Metrika!AY33/Metrika!AY32</f>
        <v>0.8482142857</v>
      </c>
      <c r="AZ32" s="204">
        <f>Metrika!AZ33/Metrika!AZ32</f>
        <v>0.8214285714</v>
      </c>
      <c r="BA32" s="204">
        <f>Metrika!BA33/Metrika!BA32</f>
        <v>0.8482142857</v>
      </c>
      <c r="BB32" s="203">
        <f>Metrika!BB33/Metrika!BB32</f>
        <v>0.8973214286</v>
      </c>
      <c r="BC32" s="204">
        <f>Metrika!BC33/Metrika!BC32</f>
        <v>0.8839285714</v>
      </c>
      <c r="BD32" s="204">
        <f>Metrika!BD33/Metrika!BD32</f>
        <v>0.8928571429</v>
      </c>
      <c r="BE32" s="204">
        <f>Metrika!BE33/Metrika!BE32</f>
        <v>0.9196428571</v>
      </c>
      <c r="BF32" s="204">
        <f>Metrika!BF33/Metrika!BF32</f>
        <v>0.8928571429</v>
      </c>
      <c r="BG32" s="202">
        <f>Metrika!BG33/Metrika!BG32</f>
        <v>0.8158482143</v>
      </c>
      <c r="BH32" s="203">
        <f>Metrika!BH33/Metrika!BH32</f>
        <v>0.9754464286</v>
      </c>
      <c r="BI32" s="204">
        <f>Metrika!BI33/Metrika!BI32</f>
        <v>0.9464285714</v>
      </c>
      <c r="BJ32" s="204">
        <f>Metrika!BJ33/Metrika!BJ32</f>
        <v>0.9910714286</v>
      </c>
      <c r="BK32" s="204">
        <f>Metrika!BK33/Metrika!BK32</f>
        <v>0.9821428571</v>
      </c>
      <c r="BL32" s="204">
        <f>Metrika!BL33/Metrika!BL32</f>
        <v>0.9821428571</v>
      </c>
      <c r="BM32" s="203">
        <f>Metrika!BM33/Metrika!BM32</f>
        <v>0</v>
      </c>
      <c r="BN32" s="204">
        <f>Metrika!BN33/Metrika!BN32</f>
        <v>1.008928571</v>
      </c>
      <c r="BO32" s="204">
        <f>Metrika!BO33/Metrika!BO32</f>
        <v>0.9821428571</v>
      </c>
      <c r="BP32" s="204">
        <f>Metrika!BP33/Metrika!BP32</f>
        <v>1</v>
      </c>
      <c r="BQ32" s="204">
        <f>Metrika!BQ33/Metrika!BQ32</f>
        <v>1.035714286</v>
      </c>
      <c r="BR32" s="203">
        <f>Metrika!BR33/Metrika!BR32</f>
        <v>0.96875</v>
      </c>
      <c r="BS32" s="204">
        <f>Metrika!BS33/Metrika!BS32</f>
        <v>0.9464285714</v>
      </c>
      <c r="BT32" s="204">
        <f>Metrika!BT33/Metrika!BT32</f>
        <v>0.9553571429</v>
      </c>
      <c r="BU32" s="204">
        <f>Metrika!BU33/Metrika!BU32</f>
        <v>0.9553571429</v>
      </c>
      <c r="BV32" s="204">
        <f>Metrika!BV33/Metrika!BV32</f>
        <v>1.017857143</v>
      </c>
      <c r="BW32" s="200">
        <f>Metrika!BW33/Metrika!BW32</f>
        <v>0.7711123512</v>
      </c>
      <c r="BX32" s="201">
        <f>Metrika!BX33/Metrika!BX32</f>
        <v>0.7728794643</v>
      </c>
      <c r="BY32" s="202">
        <f>Metrika!BY33/Metrika!BY32</f>
        <v>0.724702381</v>
      </c>
      <c r="BZ32" s="203">
        <f>Metrika!BZ33/Metrika!BZ32</f>
        <v>0.8973214286</v>
      </c>
      <c r="CA32" s="204">
        <f>Metrika!CA33/Metrika!CA32</f>
        <v>0.8839285714</v>
      </c>
      <c r="CB32" s="204">
        <f>Metrika!CB33/Metrika!CB32</f>
        <v>0.8928571429</v>
      </c>
      <c r="CC32" s="204">
        <f>Metrika!CC33/Metrika!CC32</f>
        <v>0.9196428571</v>
      </c>
      <c r="CD32" s="204">
        <f>Metrika!CD33/Metrika!CD32</f>
        <v>0.8928571429</v>
      </c>
      <c r="CE32" s="203">
        <f>Metrika!CE33/Metrika!CE32</f>
        <v>0</v>
      </c>
      <c r="CF32" s="204">
        <f>Metrika!CF33/Metrika!CF32</f>
        <v>0.8482142857</v>
      </c>
      <c r="CG32" s="204">
        <f>Metrika!CG33/Metrika!CG32</f>
        <v>0.8125</v>
      </c>
      <c r="CH32" s="204">
        <f>Metrika!CH33/Metrika!CH32</f>
        <v>0.8303571429</v>
      </c>
      <c r="CI32" s="204">
        <f>Metrika!CI33/Metrika!CI32</f>
        <v>0.9017857143</v>
      </c>
      <c r="CJ32" s="203">
        <f>Metrika!CJ33/Metrika!CJ32</f>
        <v>0.8526785714</v>
      </c>
      <c r="CK32" s="204">
        <f>Metrika!CK33/Metrika!CK32</f>
        <v>0.8928571429</v>
      </c>
      <c r="CL32" s="204">
        <f>Metrika!CL33/Metrika!CL32</f>
        <v>0.8482142857</v>
      </c>
      <c r="CM32" s="204">
        <f>Metrika!CM33/Metrika!CM32</f>
        <v>0.8214285714</v>
      </c>
      <c r="CN32" s="204">
        <f>Metrika!CN33/Metrika!CN32</f>
        <v>0.8482142857</v>
      </c>
      <c r="CO32" s="202">
        <f>Metrika!CO33/Metrika!CO32</f>
        <v>0.8210565476</v>
      </c>
      <c r="CP32" s="203">
        <f>Metrika!CP33/Metrika!CP32</f>
        <v>0.96875</v>
      </c>
      <c r="CQ32" s="204">
        <f>Metrika!CQ33/Metrika!CQ32</f>
        <v>0.9464285714</v>
      </c>
      <c r="CR32" s="204">
        <f>Metrika!CR33/Metrika!CR32</f>
        <v>0.9553571429</v>
      </c>
      <c r="CS32" s="204">
        <f>Metrika!CS33/Metrika!CS32</f>
        <v>0.9553571429</v>
      </c>
      <c r="CT32" s="204">
        <f>Metrika!CT33/Metrika!CT32</f>
        <v>1.017857143</v>
      </c>
      <c r="CU32" s="203">
        <f>Metrika!CU33/Metrika!CU32</f>
        <v>0</v>
      </c>
      <c r="CV32" s="204">
        <f>Metrika!CV33/Metrika!CV32</f>
        <v>0.9464285714</v>
      </c>
      <c r="CW32" s="204">
        <f>Metrika!CW33/Metrika!CW32</f>
        <v>0.9910714286</v>
      </c>
      <c r="CX32" s="204">
        <f>Metrika!CX33/Metrika!CX32</f>
        <v>0.9821428571</v>
      </c>
      <c r="CY32" s="204">
        <f>Metrika!CY33/Metrika!CY32</f>
        <v>0.9821428571</v>
      </c>
      <c r="CZ32" s="203">
        <f>Metrika!CZ33/Metrika!CZ32</f>
        <v>1.006696429</v>
      </c>
      <c r="DA32" s="204">
        <f>Metrika!DA33/Metrika!DA32</f>
        <v>1.008928571</v>
      </c>
      <c r="DB32" s="204">
        <f>Metrika!DB33/Metrika!DB32</f>
        <v>0.9821428571</v>
      </c>
      <c r="DC32" s="204">
        <f>Metrika!DC33/Metrika!DC32</f>
        <v>1</v>
      </c>
      <c r="DD32" s="204">
        <f>Metrika!DD33/Metrika!DD32</f>
        <v>1.035714286</v>
      </c>
      <c r="DE32" s="201">
        <f>Metrika!DE33/Metrika!DE32</f>
        <v>0.7693452381</v>
      </c>
      <c r="DF32" s="202">
        <f>Metrika!DF33/Metrika!DF32</f>
        <v>0.822172619</v>
      </c>
      <c r="DG32" s="203">
        <f>Metrika!DG33/Metrika!DG32</f>
        <v>1.006696429</v>
      </c>
      <c r="DH32" s="204">
        <f>Metrika!DH33/Metrika!DH32</f>
        <v>1.008928571</v>
      </c>
      <c r="DI32" s="204">
        <f>Metrika!DI33/Metrika!DI32</f>
        <v>0.9821428571</v>
      </c>
      <c r="DJ32" s="204">
        <f>Metrika!DJ33/Metrika!DJ32</f>
        <v>1</v>
      </c>
      <c r="DK32" s="204">
        <f>Metrika!DK33/Metrika!DK32</f>
        <v>1.035714286</v>
      </c>
      <c r="DL32" s="203">
        <f>Metrika!DL33/Metrika!DL32</f>
        <v>0</v>
      </c>
      <c r="DM32" s="204">
        <f>Metrika!DM33/Metrika!DM32</f>
        <v>0.9464285714</v>
      </c>
      <c r="DN32" s="204">
        <f>Metrika!DN33/Metrika!DN32</f>
        <v>0.9553571429</v>
      </c>
      <c r="DO32" s="204">
        <f>Metrika!DO33/Metrika!DO32</f>
        <v>0.9553571429</v>
      </c>
      <c r="DP32" s="204">
        <f>Metrika!DP33/Metrika!DP32</f>
        <v>1.017857143</v>
      </c>
      <c r="DQ32" s="203">
        <f>Metrika!DQ33/Metrika!DQ32</f>
        <v>0.9754464286</v>
      </c>
      <c r="DR32" s="204">
        <f>Metrika!DR33/Metrika!DR32</f>
        <v>0.9464285714</v>
      </c>
      <c r="DS32" s="204">
        <f>Metrika!DS33/Metrika!DS32</f>
        <v>0.9910714286</v>
      </c>
      <c r="DT32" s="204">
        <f>Metrika!DT33/Metrika!DT32</f>
        <v>0.9821428571</v>
      </c>
      <c r="DU32" s="204">
        <f>Metrika!DU33/Metrika!DU32</f>
        <v>0.9821428571</v>
      </c>
      <c r="DV32" s="202">
        <f>Metrika!DV33/Metrika!DV32</f>
        <v>0.7165178571</v>
      </c>
      <c r="DW32" s="203">
        <f>Metrika!DW33/Metrika!DW32</f>
        <v>0.8482142857</v>
      </c>
      <c r="DX32" s="204">
        <f>Metrika!DX33/Metrika!DX32</f>
        <v>0.8482142857</v>
      </c>
      <c r="DY32" s="204">
        <f>Metrika!DY33/Metrika!DY32</f>
        <v>0.8125</v>
      </c>
      <c r="DZ32" s="204">
        <f>Metrika!DZ33/Metrika!DZ32</f>
        <v>0.8303571429</v>
      </c>
      <c r="EA32" s="204">
        <f>Metrika!EA33/Metrika!EA32</f>
        <v>0.9017857143</v>
      </c>
      <c r="EB32" s="203">
        <f>Metrika!EB33/Metrika!EB32</f>
        <v>0</v>
      </c>
      <c r="EC32" s="204">
        <f>Metrika!EC33/Metrika!EC32</f>
        <v>0.8839285714</v>
      </c>
      <c r="ED32" s="204">
        <f>Metrika!ED33/Metrika!ED32</f>
        <v>0.8928571429</v>
      </c>
      <c r="EE32" s="204">
        <f>Metrika!EE33/Metrika!EE32</f>
        <v>0.9196428571</v>
      </c>
      <c r="EF32" s="204">
        <f>Metrika!EF33/Metrika!EF32</f>
        <v>0.8928571429</v>
      </c>
      <c r="EG32" s="203">
        <f>Metrika!EG33/Metrika!EG32</f>
        <v>0.8526785714</v>
      </c>
      <c r="EH32" s="204">
        <f>Metrika!EH33/Metrika!EH32</f>
        <v>0.8928571429</v>
      </c>
      <c r="EI32" s="204">
        <f>Metrika!EI33/Metrika!EI32</f>
        <v>0.8482142857</v>
      </c>
      <c r="EJ32" s="204">
        <f>Metrika!EJ33/Metrika!EJ32</f>
        <v>0.8214285714</v>
      </c>
      <c r="EK32" s="204">
        <f>Metrika!EK33/Metrika!EK32</f>
        <v>0.8482142857</v>
      </c>
      <c r="EL32" s="200">
        <f>Metrika!EL33/Metrika!EL32</f>
        <v>0.7709263393</v>
      </c>
      <c r="EM32" s="201">
        <f>Metrika!EM33/Metrika!EM32</f>
        <v>0.7725074405</v>
      </c>
      <c r="EN32" s="202">
        <f>Metrika!EN33/Metrika!EN32</f>
        <v>0.7239583333</v>
      </c>
      <c r="EO32" s="203">
        <f>Metrika!EO33/Metrika!EO32</f>
        <v>0.8973214286</v>
      </c>
      <c r="EP32" s="204">
        <f>Metrika!EP33/Metrika!EP32</f>
        <v>0.8839285714</v>
      </c>
      <c r="EQ32" s="204">
        <f>Metrika!EQ33/Metrika!EQ32</f>
        <v>0.8928571429</v>
      </c>
      <c r="ER32" s="204">
        <f>Metrika!ER33/Metrika!ER32</f>
        <v>0.9196428571</v>
      </c>
      <c r="ES32" s="204">
        <f>Metrika!ES33/Metrika!ES32</f>
        <v>0.8928571429</v>
      </c>
      <c r="ET32" s="203">
        <f>Metrika!ET33/Metrika!ET32</f>
        <v>0</v>
      </c>
      <c r="EU32" s="204">
        <f>Metrika!EU33/Metrika!EU32</f>
        <v>0.8928571429</v>
      </c>
      <c r="EV32" s="204">
        <f>Metrika!EV33/Metrika!EV32</f>
        <v>0.8482142857</v>
      </c>
      <c r="EW32" s="204">
        <f>Metrika!EW33/Metrika!EW32</f>
        <v>0.8214285714</v>
      </c>
      <c r="EX32" s="204">
        <f>Metrika!EX33/Metrika!EX32</f>
        <v>0.8482142857</v>
      </c>
      <c r="EY32" s="203">
        <f>Metrika!EY33/Metrika!EY32</f>
        <v>0.8482142857</v>
      </c>
      <c r="EZ32" s="204">
        <f>Metrika!EZ33/Metrika!EZ32</f>
        <v>0.8482142857</v>
      </c>
      <c r="FA32" s="204">
        <f>Metrika!FA33/Metrika!FA32</f>
        <v>0.8125</v>
      </c>
      <c r="FB32" s="204">
        <f>Metrika!FB33/Metrika!FB32</f>
        <v>0.8303571429</v>
      </c>
      <c r="FC32" s="204">
        <f>Metrika!FC33/Metrika!FC32</f>
        <v>0.9017857143</v>
      </c>
      <c r="FD32" s="202">
        <f>Metrika!FD33/Metrika!FD32</f>
        <v>0.8210565476</v>
      </c>
      <c r="FE32" s="203">
        <f>Metrika!FE33/Metrika!FE32</f>
        <v>0.96875</v>
      </c>
      <c r="FF32" s="204">
        <f>Metrika!FF33/Metrika!FF32</f>
        <v>0.9464285714</v>
      </c>
      <c r="FG32" s="204">
        <f>Metrika!FG33/Metrika!FG32</f>
        <v>0.9553571429</v>
      </c>
      <c r="FH32" s="204">
        <f>Metrika!FH33/Metrika!FH32</f>
        <v>0.9553571429</v>
      </c>
      <c r="FI32" s="204">
        <f>Metrika!FI33/Metrika!FI32</f>
        <v>1.017857143</v>
      </c>
      <c r="FJ32" s="203">
        <f>Metrika!FJ33/Metrika!FJ32</f>
        <v>0</v>
      </c>
      <c r="FK32" s="204">
        <f>Metrika!FK33/Metrika!FK32</f>
        <v>0.9464285714</v>
      </c>
      <c r="FL32" s="204">
        <f>Metrika!FL33/Metrika!FL32</f>
        <v>0.9910714286</v>
      </c>
      <c r="FM32" s="204">
        <f>Metrika!FM33/Metrika!FM32</f>
        <v>0.9821428571</v>
      </c>
      <c r="FN32" s="204">
        <f>Metrika!FN33/Metrika!FN32</f>
        <v>0.9821428571</v>
      </c>
      <c r="FO32" s="203">
        <f>Metrika!FO33/Metrika!FO32</f>
        <v>1.006696429</v>
      </c>
      <c r="FP32" s="204">
        <f>Metrika!FP33/Metrika!FP32</f>
        <v>1.008928571</v>
      </c>
      <c r="FQ32" s="204">
        <f>Metrika!FQ33/Metrika!FQ32</f>
        <v>0.9821428571</v>
      </c>
      <c r="FR32" s="204">
        <f>Metrika!FR33/Metrika!FR32</f>
        <v>1</v>
      </c>
      <c r="FS32" s="204">
        <f>Metrika!FS33/Metrika!FS32</f>
        <v>1.035714286</v>
      </c>
      <c r="FT32" s="201">
        <f>Metrika!FT33/Metrika!FT32</f>
        <v>0.7693452381</v>
      </c>
      <c r="FU32" s="202">
        <f>Metrika!FU33/Metrika!FU32</f>
        <v>0.822172619</v>
      </c>
      <c r="FV32" s="203">
        <f>Metrika!FV33/Metrika!FV32</f>
        <v>1.006696429</v>
      </c>
      <c r="FW32" s="204">
        <f>Metrika!FW33/Metrika!FW32</f>
        <v>1.008928571</v>
      </c>
      <c r="FX32" s="204">
        <f>Metrika!FX33/Metrika!FX32</f>
        <v>0.9821428571</v>
      </c>
      <c r="FY32" s="204">
        <f>Metrika!FY33/Metrika!FY32</f>
        <v>1</v>
      </c>
      <c r="FZ32" s="204">
        <f>Metrika!FZ33/Metrika!FZ32</f>
        <v>1.035714286</v>
      </c>
      <c r="GA32" s="203">
        <f>Metrika!GA33/Metrika!GA32</f>
        <v>0</v>
      </c>
      <c r="GB32" s="204">
        <f>Metrika!GB33/Metrika!GB32</f>
        <v>0.9464285714</v>
      </c>
      <c r="GC32" s="204">
        <f>Metrika!GC33/Metrika!GC32</f>
        <v>0.9553571429</v>
      </c>
      <c r="GD32" s="204">
        <f>Metrika!GD33/Metrika!GD32</f>
        <v>0.9553571429</v>
      </c>
      <c r="GE32" s="204">
        <f>Metrika!GE33/Metrika!GE32</f>
        <v>1.017857143</v>
      </c>
      <c r="GF32" s="203">
        <f>Metrika!GF33/Metrika!GF32</f>
        <v>0.9754464286</v>
      </c>
      <c r="GG32" s="204">
        <f>Metrika!GG33/Metrika!GG32</f>
        <v>0.9464285714</v>
      </c>
      <c r="GH32" s="204">
        <f>Metrika!GH33/Metrika!GH32</f>
        <v>0.9910714286</v>
      </c>
      <c r="GI32" s="204">
        <f>Metrika!GI33/Metrika!GI32</f>
        <v>0.9821428571</v>
      </c>
      <c r="GJ32" s="204">
        <f>Metrika!GJ33/Metrika!GJ32</f>
        <v>0.9821428571</v>
      </c>
      <c r="GK32" s="202">
        <f>Metrika!GK33/Metrika!GK32</f>
        <v>0.7165178571</v>
      </c>
      <c r="GL32" s="203">
        <f>Metrika!GL33/Metrika!GL32</f>
        <v>0.8526785714</v>
      </c>
      <c r="GM32" s="204">
        <f>Metrika!GM33/Metrika!GM32</f>
        <v>0.8928571429</v>
      </c>
      <c r="GN32" s="204">
        <f>Metrika!GN33/Metrika!GN32</f>
        <v>0.8482142857</v>
      </c>
      <c r="GO32" s="204">
        <f>Metrika!GO33/Metrika!GO32</f>
        <v>0.8214285714</v>
      </c>
      <c r="GP32" s="204">
        <f>Metrika!GP33/Metrika!GP32</f>
        <v>0.8482142857</v>
      </c>
      <c r="GQ32" s="203">
        <f>Metrika!GQ33/Metrika!GQ32</f>
        <v>0</v>
      </c>
      <c r="GR32" s="204">
        <f>Metrika!GR33/Metrika!GR32</f>
        <v>0.8839285714</v>
      </c>
      <c r="GS32" s="204">
        <f>Metrika!GS33/Metrika!GS32</f>
        <v>0.8928571429</v>
      </c>
      <c r="GT32" s="204">
        <f>Metrika!GT33/Metrika!GT32</f>
        <v>0.9196428571</v>
      </c>
      <c r="GU32" s="204">
        <f>Metrika!GU33/Metrika!GU32</f>
        <v>0.8928571429</v>
      </c>
      <c r="GV32" s="203">
        <f>Metrika!GV33/Metrika!GV32</f>
        <v>0.8482142857</v>
      </c>
      <c r="GW32" s="204">
        <f>Metrika!GW33/Metrika!GW32</f>
        <v>0.8482142857</v>
      </c>
      <c r="GX32" s="204">
        <f>Metrika!GX33/Metrika!GX32</f>
        <v>0.8125</v>
      </c>
      <c r="GY32" s="204">
        <f>Metrika!GY33/Metrika!GY32</f>
        <v>0.8303571429</v>
      </c>
      <c r="GZ32" s="204">
        <f>Metrika!GZ33/Metrika!GZ32</f>
        <v>0.9017857143</v>
      </c>
      <c r="HA32" s="198"/>
    </row>
    <row r="33" ht="15.75" customHeight="1">
      <c r="A33" s="114"/>
      <c r="B33" s="78"/>
      <c r="C33" s="78"/>
      <c r="D33" s="78"/>
      <c r="E33" s="80" t="s">
        <v>26</v>
      </c>
      <c r="F33" s="198"/>
      <c r="G33" s="78"/>
      <c r="H33" s="78"/>
      <c r="I33" s="78"/>
      <c r="J33" s="78"/>
      <c r="K33" s="78"/>
      <c r="L33" s="78"/>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78"/>
      <c r="EJ33" s="78"/>
      <c r="EK33" s="78"/>
      <c r="EL33" s="78"/>
      <c r="EM33" s="78"/>
      <c r="EN33" s="78"/>
      <c r="EO33" s="78"/>
      <c r="EP33" s="78"/>
      <c r="EQ33" s="78"/>
      <c r="ER33" s="78"/>
      <c r="ES33" s="78"/>
      <c r="ET33" s="78"/>
      <c r="EU33" s="78"/>
      <c r="EV33" s="78"/>
      <c r="EW33" s="78"/>
      <c r="EX33" s="78"/>
      <c r="EY33" s="78"/>
      <c r="EZ33" s="78"/>
      <c r="FA33" s="78"/>
      <c r="FB33" s="78"/>
      <c r="FC33" s="78"/>
      <c r="FD33" s="78"/>
      <c r="FE33" s="78"/>
      <c r="FF33" s="78"/>
      <c r="FG33" s="78"/>
      <c r="FH33" s="78"/>
      <c r="FI33" s="78"/>
      <c r="FJ33" s="78"/>
      <c r="FK33" s="78"/>
      <c r="FL33" s="78"/>
      <c r="FM33" s="78"/>
      <c r="FN33" s="78"/>
      <c r="FO33" s="78"/>
      <c r="FP33" s="78"/>
      <c r="FQ33" s="78"/>
      <c r="FR33" s="78"/>
      <c r="FS33" s="78"/>
      <c r="FT33" s="78"/>
      <c r="FU33" s="78"/>
      <c r="FV33" s="78"/>
      <c r="FW33" s="78"/>
      <c r="FX33" s="78"/>
      <c r="FY33" s="78"/>
      <c r="FZ33" s="78"/>
      <c r="GA33" s="78"/>
      <c r="GB33" s="78"/>
      <c r="GC33" s="78"/>
      <c r="GD33" s="78"/>
      <c r="GE33" s="78"/>
      <c r="GF33" s="78"/>
      <c r="GG33" s="78"/>
      <c r="GH33" s="78"/>
      <c r="GI33" s="78"/>
      <c r="GJ33" s="78"/>
      <c r="GK33" s="78"/>
      <c r="GL33" s="78"/>
      <c r="GM33" s="78"/>
      <c r="GN33" s="78"/>
      <c r="GO33" s="78"/>
      <c r="GP33" s="78"/>
      <c r="GQ33" s="78"/>
      <c r="GR33" s="78"/>
      <c r="GS33" s="78"/>
      <c r="GT33" s="78"/>
      <c r="GU33" s="78"/>
      <c r="GV33" s="78"/>
      <c r="GW33" s="78"/>
      <c r="GX33" s="78"/>
      <c r="GY33" s="78"/>
      <c r="GZ33" s="78"/>
      <c r="HA33" s="198"/>
    </row>
    <row r="34" ht="15.75" customHeight="1">
      <c r="A34" s="114"/>
      <c r="B34" s="114"/>
      <c r="C34" s="114"/>
      <c r="D34" s="114"/>
      <c r="E34" s="262"/>
      <c r="F34" s="198"/>
      <c r="G34" s="263"/>
      <c r="H34" s="263"/>
      <c r="I34" s="263"/>
      <c r="J34" s="263"/>
      <c r="K34" s="263"/>
      <c r="L34" s="263"/>
      <c r="M34" s="263"/>
      <c r="N34" s="263"/>
      <c r="O34" s="263"/>
      <c r="P34" s="263"/>
      <c r="Q34" s="263"/>
      <c r="R34" s="263"/>
      <c r="S34" s="263"/>
      <c r="T34" s="263"/>
      <c r="U34" s="263"/>
      <c r="V34" s="263"/>
      <c r="W34" s="263"/>
      <c r="X34" s="263"/>
      <c r="Y34" s="263"/>
      <c r="Z34" s="263"/>
      <c r="AA34" s="263"/>
      <c r="AB34" s="263"/>
      <c r="AC34" s="263"/>
      <c r="AD34" s="263"/>
      <c r="AE34" s="263"/>
      <c r="AF34" s="263"/>
      <c r="AG34" s="263"/>
      <c r="AH34" s="263"/>
      <c r="AI34" s="263"/>
      <c r="AJ34" s="263"/>
      <c r="AK34" s="263"/>
      <c r="AL34" s="263"/>
      <c r="AM34" s="263"/>
      <c r="AN34" s="263"/>
      <c r="AO34" s="263"/>
      <c r="AP34" s="263"/>
      <c r="AQ34" s="263"/>
      <c r="AR34" s="263"/>
      <c r="AS34" s="263"/>
      <c r="AT34" s="263"/>
      <c r="AU34" s="263"/>
      <c r="AV34" s="263"/>
      <c r="AW34" s="263"/>
      <c r="AX34" s="263"/>
      <c r="AY34" s="263"/>
      <c r="AZ34" s="263"/>
      <c r="BA34" s="263"/>
      <c r="BB34" s="263"/>
      <c r="BC34" s="263"/>
      <c r="BD34" s="263"/>
      <c r="BE34" s="263"/>
      <c r="BF34" s="263"/>
      <c r="BG34" s="263"/>
      <c r="BH34" s="263"/>
      <c r="BI34" s="263"/>
      <c r="BJ34" s="263"/>
      <c r="BK34" s="263"/>
      <c r="BL34" s="263"/>
      <c r="BM34" s="263"/>
      <c r="BN34" s="263"/>
      <c r="BO34" s="263"/>
      <c r="BP34" s="263"/>
      <c r="BQ34" s="263"/>
      <c r="BR34" s="263"/>
      <c r="BS34" s="263"/>
      <c r="BT34" s="263"/>
      <c r="BU34" s="263"/>
      <c r="BV34" s="263"/>
      <c r="BW34" s="263"/>
      <c r="BX34" s="263"/>
      <c r="BY34" s="263"/>
      <c r="BZ34" s="263"/>
      <c r="CA34" s="263"/>
      <c r="CB34" s="263"/>
      <c r="CC34" s="263"/>
      <c r="CD34" s="263"/>
      <c r="CE34" s="263"/>
      <c r="CF34" s="263"/>
      <c r="CG34" s="263"/>
      <c r="CH34" s="263"/>
      <c r="CI34" s="263"/>
      <c r="CJ34" s="263"/>
      <c r="CK34" s="263"/>
      <c r="CL34" s="263"/>
      <c r="CM34" s="263"/>
      <c r="CN34" s="263"/>
      <c r="CO34" s="263"/>
      <c r="CP34" s="263"/>
      <c r="CQ34" s="263"/>
      <c r="CR34" s="263"/>
      <c r="CS34" s="263"/>
      <c r="CT34" s="263"/>
      <c r="CU34" s="263"/>
      <c r="CV34" s="263"/>
      <c r="CW34" s="263"/>
      <c r="CX34" s="263"/>
      <c r="CY34" s="263"/>
      <c r="CZ34" s="263"/>
      <c r="DA34" s="263"/>
      <c r="DB34" s="263"/>
      <c r="DC34" s="263"/>
      <c r="DD34" s="263"/>
      <c r="DE34" s="263"/>
      <c r="DF34" s="263"/>
      <c r="DG34" s="263"/>
      <c r="DH34" s="263"/>
      <c r="DI34" s="263"/>
      <c r="DJ34" s="263"/>
      <c r="DK34" s="263"/>
      <c r="DL34" s="263"/>
      <c r="DM34" s="263"/>
      <c r="DN34" s="263"/>
      <c r="DO34" s="263"/>
      <c r="DP34" s="263"/>
      <c r="DQ34" s="263"/>
      <c r="DR34" s="263"/>
      <c r="DS34" s="263"/>
      <c r="DT34" s="263"/>
      <c r="DU34" s="263"/>
      <c r="DV34" s="263"/>
      <c r="DW34" s="263"/>
      <c r="DX34" s="263"/>
      <c r="DY34" s="263"/>
      <c r="DZ34" s="263"/>
      <c r="EA34" s="263"/>
      <c r="EB34" s="263"/>
      <c r="EC34" s="263"/>
      <c r="ED34" s="263"/>
      <c r="EE34" s="263"/>
      <c r="EF34" s="263"/>
      <c r="EG34" s="263"/>
      <c r="EH34" s="263"/>
      <c r="EI34" s="263"/>
      <c r="EJ34" s="263"/>
      <c r="EK34" s="263"/>
      <c r="EL34" s="263"/>
      <c r="EM34" s="263"/>
      <c r="EN34" s="263"/>
      <c r="EO34" s="263"/>
      <c r="EP34" s="263"/>
      <c r="EQ34" s="263"/>
      <c r="ER34" s="263"/>
      <c r="ES34" s="263"/>
      <c r="ET34" s="263"/>
      <c r="EU34" s="263"/>
      <c r="EV34" s="263"/>
      <c r="EW34" s="263"/>
      <c r="EX34" s="263"/>
      <c r="EY34" s="263"/>
      <c r="EZ34" s="263"/>
      <c r="FA34" s="263"/>
      <c r="FB34" s="263"/>
      <c r="FC34" s="263"/>
      <c r="FD34" s="263"/>
      <c r="FE34" s="263"/>
      <c r="FF34" s="263"/>
      <c r="FG34" s="263"/>
      <c r="FH34" s="263"/>
      <c r="FI34" s="263"/>
      <c r="FJ34" s="263"/>
      <c r="FK34" s="263"/>
      <c r="FL34" s="263"/>
      <c r="FM34" s="263"/>
      <c r="FN34" s="263"/>
      <c r="FO34" s="263"/>
      <c r="FP34" s="263"/>
      <c r="FQ34" s="263"/>
      <c r="FR34" s="263"/>
      <c r="FS34" s="263"/>
      <c r="FT34" s="263"/>
      <c r="FU34" s="263"/>
      <c r="FV34" s="263"/>
      <c r="FW34" s="263"/>
      <c r="FX34" s="263"/>
      <c r="FY34" s="263"/>
      <c r="FZ34" s="263"/>
      <c r="GA34" s="263"/>
      <c r="GB34" s="263"/>
      <c r="GC34" s="263"/>
      <c r="GD34" s="263"/>
      <c r="GE34" s="263"/>
      <c r="GF34" s="263"/>
      <c r="GG34" s="263"/>
      <c r="GH34" s="263"/>
      <c r="GI34" s="263"/>
      <c r="GJ34" s="263"/>
      <c r="GK34" s="263"/>
      <c r="GL34" s="263"/>
      <c r="GM34" s="263"/>
      <c r="GN34" s="263"/>
      <c r="GO34" s="263"/>
      <c r="GP34" s="263"/>
      <c r="GQ34" s="263"/>
      <c r="GR34" s="263"/>
      <c r="GS34" s="263"/>
      <c r="GT34" s="263"/>
      <c r="GU34" s="263"/>
      <c r="GV34" s="263"/>
      <c r="GW34" s="263"/>
      <c r="GX34" s="263"/>
      <c r="GY34" s="263"/>
      <c r="GZ34" s="263"/>
      <c r="HA34" s="198"/>
    </row>
  </sheetData>
  <mergeCells count="2726">
    <mergeCell ref="G8:G9"/>
    <mergeCell ref="H8:H9"/>
    <mergeCell ref="I8:I9"/>
    <mergeCell ref="J8:J9"/>
    <mergeCell ref="K8:K9"/>
    <mergeCell ref="L8:L9"/>
    <mergeCell ref="M8:M9"/>
    <mergeCell ref="N8:N9"/>
    <mergeCell ref="O8:O9"/>
    <mergeCell ref="P8:P9"/>
    <mergeCell ref="Q8:Q9"/>
    <mergeCell ref="R8:R9"/>
    <mergeCell ref="S8:S9"/>
    <mergeCell ref="T8:T9"/>
    <mergeCell ref="T10:T11"/>
    <mergeCell ref="U10:U11"/>
    <mergeCell ref="M10:M11"/>
    <mergeCell ref="N10:N11"/>
    <mergeCell ref="O10:O11"/>
    <mergeCell ref="P10:P11"/>
    <mergeCell ref="Q10:Q11"/>
    <mergeCell ref="R10:R11"/>
    <mergeCell ref="S10:S11"/>
    <mergeCell ref="AH10:AH11"/>
    <mergeCell ref="AI10:AI11"/>
    <mergeCell ref="AA10:AA11"/>
    <mergeCell ref="AB10:AB11"/>
    <mergeCell ref="AC10:AC11"/>
    <mergeCell ref="AD10:AD11"/>
    <mergeCell ref="AE10:AE11"/>
    <mergeCell ref="AF10:AF11"/>
    <mergeCell ref="AG10:AG11"/>
    <mergeCell ref="AQ10:AQ11"/>
    <mergeCell ref="AR10:AR11"/>
    <mergeCell ref="AJ10:AJ11"/>
    <mergeCell ref="AK10:AK11"/>
    <mergeCell ref="AL10:AL11"/>
    <mergeCell ref="AM10:AM11"/>
    <mergeCell ref="AN10:AN11"/>
    <mergeCell ref="AO10:AO11"/>
    <mergeCell ref="AP10:AP11"/>
    <mergeCell ref="AZ10:AZ11"/>
    <mergeCell ref="BA10:BA11"/>
    <mergeCell ref="AS10:AS11"/>
    <mergeCell ref="AT10:AT11"/>
    <mergeCell ref="AU10:AU11"/>
    <mergeCell ref="AV10:AV11"/>
    <mergeCell ref="AW10:AW11"/>
    <mergeCell ref="AX10:AX11"/>
    <mergeCell ref="AY10:AY11"/>
    <mergeCell ref="W8:W9"/>
    <mergeCell ref="X8:X9"/>
    <mergeCell ref="Z8:Z9"/>
    <mergeCell ref="AA8:AA9"/>
    <mergeCell ref="AB8:AB9"/>
    <mergeCell ref="AC8:AC9"/>
    <mergeCell ref="AD8:AD9"/>
    <mergeCell ref="AL8:AL9"/>
    <mergeCell ref="AM8:AM9"/>
    <mergeCell ref="AN8:AN9"/>
    <mergeCell ref="AO8:AO9"/>
    <mergeCell ref="AP8:AP9"/>
    <mergeCell ref="AQ8:AQ9"/>
    <mergeCell ref="AR8:AR9"/>
    <mergeCell ref="C8:C9"/>
    <mergeCell ref="C10:C11"/>
    <mergeCell ref="H10:H11"/>
    <mergeCell ref="I10:I11"/>
    <mergeCell ref="J10:J11"/>
    <mergeCell ref="K10:K11"/>
    <mergeCell ref="L10:L11"/>
    <mergeCell ref="U8:U9"/>
    <mergeCell ref="V8:V9"/>
    <mergeCell ref="V10:V11"/>
    <mergeCell ref="W10:W11"/>
    <mergeCell ref="X10:X11"/>
    <mergeCell ref="Y10:Y11"/>
    <mergeCell ref="Z10:Z11"/>
    <mergeCell ref="AE8:AE9"/>
    <mergeCell ref="AF8:AF9"/>
    <mergeCell ref="AG8:AG9"/>
    <mergeCell ref="AH8:AH9"/>
    <mergeCell ref="AI8:AI9"/>
    <mergeCell ref="AJ8:AJ9"/>
    <mergeCell ref="AK8:AK9"/>
    <mergeCell ref="AS8:AS9"/>
    <mergeCell ref="AT8:AT9"/>
    <mergeCell ref="AU8:AU9"/>
    <mergeCell ref="AV8:AV9"/>
    <mergeCell ref="AW8:AW9"/>
    <mergeCell ref="AX8:AX9"/>
    <mergeCell ref="AY8:AY9"/>
    <mergeCell ref="BB10:BB11"/>
    <mergeCell ref="BC10:BC11"/>
    <mergeCell ref="BD10:BD11"/>
    <mergeCell ref="BE10:BE11"/>
    <mergeCell ref="BF10:BF11"/>
    <mergeCell ref="AZ8:AZ9"/>
    <mergeCell ref="BA8:BA9"/>
    <mergeCell ref="BB8:BB9"/>
    <mergeCell ref="BC8:BC9"/>
    <mergeCell ref="BD8:BD9"/>
    <mergeCell ref="BE8:BE9"/>
    <mergeCell ref="BF8:BF9"/>
    <mergeCell ref="DK10:DK11"/>
    <mergeCell ref="DL10:DL11"/>
    <mergeCell ref="DD10:DD11"/>
    <mergeCell ref="DE10:DE11"/>
    <mergeCell ref="DF10:DF11"/>
    <mergeCell ref="DG10:DG11"/>
    <mergeCell ref="DH10:DH11"/>
    <mergeCell ref="DI10:DI11"/>
    <mergeCell ref="DJ10:DJ11"/>
    <mergeCell ref="BG10:BG11"/>
    <mergeCell ref="BH10:BH11"/>
    <mergeCell ref="BI10:BI11"/>
    <mergeCell ref="BJ10:BJ11"/>
    <mergeCell ref="BK10:BK11"/>
    <mergeCell ref="BL10:BL11"/>
    <mergeCell ref="BM10:BM11"/>
    <mergeCell ref="BN10:BN11"/>
    <mergeCell ref="BO10:BO11"/>
    <mergeCell ref="BP10:BP11"/>
    <mergeCell ref="BQ10:BQ11"/>
    <mergeCell ref="BR10:BR11"/>
    <mergeCell ref="BS10:BS11"/>
    <mergeCell ref="BT10:BT11"/>
    <mergeCell ref="BU10:BU11"/>
    <mergeCell ref="BV10:BV11"/>
    <mergeCell ref="BW10:BW11"/>
    <mergeCell ref="BX10:BX11"/>
    <mergeCell ref="BY10:BY11"/>
    <mergeCell ref="BZ10:BZ11"/>
    <mergeCell ref="CA10:CA11"/>
    <mergeCell ref="CB10:CB11"/>
    <mergeCell ref="CC10:CC11"/>
    <mergeCell ref="CD10:CD11"/>
    <mergeCell ref="CE10:CE11"/>
    <mergeCell ref="CF10:CF11"/>
    <mergeCell ref="CG10:CG11"/>
    <mergeCell ref="CH10:CH11"/>
    <mergeCell ref="CI10:CI11"/>
    <mergeCell ref="CJ10:CJ11"/>
    <mergeCell ref="CK10:CK11"/>
    <mergeCell ref="CL10:CL11"/>
    <mergeCell ref="CM10:CM11"/>
    <mergeCell ref="CN10:CN11"/>
    <mergeCell ref="CO10:CO11"/>
    <mergeCell ref="CP10:CP11"/>
    <mergeCell ref="CQ10:CQ11"/>
    <mergeCell ref="CR10:CR11"/>
    <mergeCell ref="CS10:CS11"/>
    <mergeCell ref="CT10:CT11"/>
    <mergeCell ref="CU10:CU11"/>
    <mergeCell ref="CV10:CV11"/>
    <mergeCell ref="CW10:CW11"/>
    <mergeCell ref="CX10:CX11"/>
    <mergeCell ref="CY10:CY11"/>
    <mergeCell ref="CZ10:CZ11"/>
    <mergeCell ref="DA10:DA11"/>
    <mergeCell ref="DB10:DB11"/>
    <mergeCell ref="DC10:DC11"/>
    <mergeCell ref="FQ10:FQ11"/>
    <mergeCell ref="FR10:FR11"/>
    <mergeCell ref="FJ10:FJ11"/>
    <mergeCell ref="FK10:FK11"/>
    <mergeCell ref="FL10:FL11"/>
    <mergeCell ref="FM10:FM11"/>
    <mergeCell ref="FN10:FN11"/>
    <mergeCell ref="FO10:FO11"/>
    <mergeCell ref="FP10:FP11"/>
    <mergeCell ref="DM10:DM11"/>
    <mergeCell ref="DN10:DN11"/>
    <mergeCell ref="DO10:DO11"/>
    <mergeCell ref="DP10:DP11"/>
    <mergeCell ref="DQ10:DQ11"/>
    <mergeCell ref="DR10:DR11"/>
    <mergeCell ref="DS10:DS11"/>
    <mergeCell ref="DT10:DT11"/>
    <mergeCell ref="DU10:DU11"/>
    <mergeCell ref="DV10:DV11"/>
    <mergeCell ref="DW10:DW11"/>
    <mergeCell ref="DX10:DX11"/>
    <mergeCell ref="DY10:DY11"/>
    <mergeCell ref="DZ10:DZ11"/>
    <mergeCell ref="EA10:EA11"/>
    <mergeCell ref="EB10:EB11"/>
    <mergeCell ref="EC10:EC11"/>
    <mergeCell ref="ED10:ED11"/>
    <mergeCell ref="EE10:EE11"/>
    <mergeCell ref="EF10:EF11"/>
    <mergeCell ref="EG10:EG11"/>
    <mergeCell ref="EH10:EH11"/>
    <mergeCell ref="EI10:EI11"/>
    <mergeCell ref="EJ10:EJ11"/>
    <mergeCell ref="EK10:EK11"/>
    <mergeCell ref="EL10:EL11"/>
    <mergeCell ref="EM10:EM11"/>
    <mergeCell ref="EN10:EN11"/>
    <mergeCell ref="EO10:EO11"/>
    <mergeCell ref="EP10:EP11"/>
    <mergeCell ref="EQ10:EQ11"/>
    <mergeCell ref="ER10:ER11"/>
    <mergeCell ref="ES10:ES11"/>
    <mergeCell ref="ET10:ET11"/>
    <mergeCell ref="EU10:EU11"/>
    <mergeCell ref="EV10:EV11"/>
    <mergeCell ref="EW10:EW11"/>
    <mergeCell ref="EX10:EX11"/>
    <mergeCell ref="EY10:EY11"/>
    <mergeCell ref="EZ10:EZ11"/>
    <mergeCell ref="FA10:FA11"/>
    <mergeCell ref="FB10:FB11"/>
    <mergeCell ref="FC10:FC11"/>
    <mergeCell ref="FD10:FD11"/>
    <mergeCell ref="FE10:FE11"/>
    <mergeCell ref="FF10:FF11"/>
    <mergeCell ref="FG10:FG11"/>
    <mergeCell ref="FH10:FH11"/>
    <mergeCell ref="FI10:FI11"/>
    <mergeCell ref="FV8:FV9"/>
    <mergeCell ref="FW8:FW9"/>
    <mergeCell ref="FX8:FX9"/>
    <mergeCell ref="FY8:FY9"/>
    <mergeCell ref="FZ8:FZ9"/>
    <mergeCell ref="GA8:GA9"/>
    <mergeCell ref="GB8:GB9"/>
    <mergeCell ref="FO8:FO9"/>
    <mergeCell ref="FP8:FP9"/>
    <mergeCell ref="FQ8:FQ9"/>
    <mergeCell ref="FR8:FR9"/>
    <mergeCell ref="FS8:FS9"/>
    <mergeCell ref="FT8:FT9"/>
    <mergeCell ref="FU8:FU9"/>
    <mergeCell ref="GP10:GP11"/>
    <mergeCell ref="GQ10:GQ11"/>
    <mergeCell ref="GI10:GI11"/>
    <mergeCell ref="GJ10:GJ11"/>
    <mergeCell ref="GK10:GK11"/>
    <mergeCell ref="GL10:GL11"/>
    <mergeCell ref="GM10:GM11"/>
    <mergeCell ref="GN10:GN11"/>
    <mergeCell ref="GO10:GO11"/>
    <mergeCell ref="GY10:GY11"/>
    <mergeCell ref="GZ10:GZ11"/>
    <mergeCell ref="GR10:GR11"/>
    <mergeCell ref="GS10:GS11"/>
    <mergeCell ref="GT10:GT11"/>
    <mergeCell ref="GU10:GU11"/>
    <mergeCell ref="GV10:GV11"/>
    <mergeCell ref="GW10:GW11"/>
    <mergeCell ref="GX10:GX11"/>
    <mergeCell ref="FA8:FA9"/>
    <mergeCell ref="FB8:FB9"/>
    <mergeCell ref="FC8:FC9"/>
    <mergeCell ref="FD8:FD9"/>
    <mergeCell ref="FE8:FE9"/>
    <mergeCell ref="FF8:FF9"/>
    <mergeCell ref="FG8:FG9"/>
    <mergeCell ref="FH8:FH9"/>
    <mergeCell ref="FI8:FI9"/>
    <mergeCell ref="FJ8:FJ9"/>
    <mergeCell ref="FK8:FK9"/>
    <mergeCell ref="FL8:FL9"/>
    <mergeCell ref="FM8:FM9"/>
    <mergeCell ref="FN8:FN9"/>
    <mergeCell ref="GJ8:GJ9"/>
    <mergeCell ref="GK8:GK9"/>
    <mergeCell ref="GL8:GL9"/>
    <mergeCell ref="GM8:GM9"/>
    <mergeCell ref="GN8:GN9"/>
    <mergeCell ref="GO8:GO9"/>
    <mergeCell ref="GP8:GP9"/>
    <mergeCell ref="GX8:GX9"/>
    <mergeCell ref="GY8:GY9"/>
    <mergeCell ref="GZ8:GZ9"/>
    <mergeCell ref="FS10:FS11"/>
    <mergeCell ref="FT10:FT11"/>
    <mergeCell ref="FU10:FU11"/>
    <mergeCell ref="FV10:FV11"/>
    <mergeCell ref="FW10:FW11"/>
    <mergeCell ref="FX10:FX11"/>
    <mergeCell ref="FY10:FY11"/>
    <mergeCell ref="GC8:GC9"/>
    <mergeCell ref="GD8:GD9"/>
    <mergeCell ref="GE8:GE9"/>
    <mergeCell ref="GF8:GF9"/>
    <mergeCell ref="GG8:GG9"/>
    <mergeCell ref="GH8:GH9"/>
    <mergeCell ref="GI8:GI9"/>
    <mergeCell ref="GQ8:GQ9"/>
    <mergeCell ref="GR8:GR9"/>
    <mergeCell ref="GS8:GS9"/>
    <mergeCell ref="GT8:GT9"/>
    <mergeCell ref="GU8:GU9"/>
    <mergeCell ref="GV8:GV9"/>
    <mergeCell ref="GW8:GW9"/>
    <mergeCell ref="ET12:ET13"/>
    <mergeCell ref="EU12:EU13"/>
    <mergeCell ref="EM12:EM13"/>
    <mergeCell ref="EN12:EN13"/>
    <mergeCell ref="EO12:EO13"/>
    <mergeCell ref="EP12:EP13"/>
    <mergeCell ref="EQ12:EQ13"/>
    <mergeCell ref="ER12:ER13"/>
    <mergeCell ref="ES12:ES13"/>
    <mergeCell ref="CP12:CP13"/>
    <mergeCell ref="CQ12:CQ13"/>
    <mergeCell ref="CR12:CR13"/>
    <mergeCell ref="CS12:CS13"/>
    <mergeCell ref="CT12:CT13"/>
    <mergeCell ref="CU12:CU13"/>
    <mergeCell ref="CV12:CV13"/>
    <mergeCell ref="CW12:CW13"/>
    <mergeCell ref="CX12:CX13"/>
    <mergeCell ref="CY12:CY13"/>
    <mergeCell ref="CZ12:CZ13"/>
    <mergeCell ref="DA12:DA13"/>
    <mergeCell ref="DB12:DB13"/>
    <mergeCell ref="DC12:DC13"/>
    <mergeCell ref="DD12:DD13"/>
    <mergeCell ref="DE12:DE13"/>
    <mergeCell ref="DF12:DF13"/>
    <mergeCell ref="DG12:DG13"/>
    <mergeCell ref="DH12:DH13"/>
    <mergeCell ref="DI12:DI13"/>
    <mergeCell ref="DJ12:DJ13"/>
    <mergeCell ref="DK12:DK13"/>
    <mergeCell ref="DL12:DL13"/>
    <mergeCell ref="DM12:DM13"/>
    <mergeCell ref="DN12:DN13"/>
    <mergeCell ref="DO12:DO13"/>
    <mergeCell ref="DP12:DP13"/>
    <mergeCell ref="DQ12:DQ13"/>
    <mergeCell ref="DR12:DR13"/>
    <mergeCell ref="DS12:DS13"/>
    <mergeCell ref="DT12:DT13"/>
    <mergeCell ref="DU12:DU13"/>
    <mergeCell ref="DV12:DV13"/>
    <mergeCell ref="DW12:DW13"/>
    <mergeCell ref="DX12:DX13"/>
    <mergeCell ref="DY12:DY13"/>
    <mergeCell ref="DZ12:DZ13"/>
    <mergeCell ref="EA12:EA13"/>
    <mergeCell ref="EB12:EB13"/>
    <mergeCell ref="EC12:EC13"/>
    <mergeCell ref="ED12:ED13"/>
    <mergeCell ref="EE12:EE13"/>
    <mergeCell ref="EF12:EF13"/>
    <mergeCell ref="EG12:EG13"/>
    <mergeCell ref="EH12:EH13"/>
    <mergeCell ref="EI12:EI13"/>
    <mergeCell ref="EJ12:EJ13"/>
    <mergeCell ref="EK12:EK13"/>
    <mergeCell ref="EL12:EL13"/>
    <mergeCell ref="DS16:DS17"/>
    <mergeCell ref="DT16:DT17"/>
    <mergeCell ref="DL16:DL17"/>
    <mergeCell ref="DM16:DM17"/>
    <mergeCell ref="DN16:DN17"/>
    <mergeCell ref="DO16:DO17"/>
    <mergeCell ref="DP16:DP17"/>
    <mergeCell ref="DQ16:DQ17"/>
    <mergeCell ref="DR16:DR17"/>
    <mergeCell ref="BO16:BO17"/>
    <mergeCell ref="BP16:BP17"/>
    <mergeCell ref="BQ16:BQ17"/>
    <mergeCell ref="BR16:BR17"/>
    <mergeCell ref="BS16:BS17"/>
    <mergeCell ref="BT16:BT17"/>
    <mergeCell ref="BU16:BU17"/>
    <mergeCell ref="BV16:BV17"/>
    <mergeCell ref="BW16:BW17"/>
    <mergeCell ref="BX16:BX17"/>
    <mergeCell ref="BY16:BY17"/>
    <mergeCell ref="BZ16:BZ17"/>
    <mergeCell ref="CA16:CA17"/>
    <mergeCell ref="CB16:CB17"/>
    <mergeCell ref="CC16:CC17"/>
    <mergeCell ref="CD16:CD17"/>
    <mergeCell ref="CE16:CE17"/>
    <mergeCell ref="CF16:CF17"/>
    <mergeCell ref="CG16:CG17"/>
    <mergeCell ref="CH16:CH17"/>
    <mergeCell ref="CI16:CI17"/>
    <mergeCell ref="CJ16:CJ17"/>
    <mergeCell ref="CK16:CK17"/>
    <mergeCell ref="CL16:CL17"/>
    <mergeCell ref="CM16:CM17"/>
    <mergeCell ref="CN16:CN17"/>
    <mergeCell ref="CO16:CO17"/>
    <mergeCell ref="CP16:CP17"/>
    <mergeCell ref="CQ16:CQ17"/>
    <mergeCell ref="CR16:CR17"/>
    <mergeCell ref="CS16:CS17"/>
    <mergeCell ref="CT16:CT17"/>
    <mergeCell ref="CU16:CU17"/>
    <mergeCell ref="CV16:CV17"/>
    <mergeCell ref="CW16:CW17"/>
    <mergeCell ref="CX16:CX17"/>
    <mergeCell ref="CY16:CY17"/>
    <mergeCell ref="CZ16:CZ17"/>
    <mergeCell ref="DA16:DA17"/>
    <mergeCell ref="DB16:DB17"/>
    <mergeCell ref="DC16:DC17"/>
    <mergeCell ref="DD16:DD17"/>
    <mergeCell ref="DE16:DE17"/>
    <mergeCell ref="DF16:DF17"/>
    <mergeCell ref="DG16:DG17"/>
    <mergeCell ref="DH16:DH17"/>
    <mergeCell ref="DI16:DI17"/>
    <mergeCell ref="DJ16:DJ17"/>
    <mergeCell ref="DK16:DK17"/>
    <mergeCell ref="FY16:FY17"/>
    <mergeCell ref="FZ16:FZ17"/>
    <mergeCell ref="FR16:FR17"/>
    <mergeCell ref="FS16:FS17"/>
    <mergeCell ref="FT16:FT17"/>
    <mergeCell ref="FU16:FU17"/>
    <mergeCell ref="FV16:FV17"/>
    <mergeCell ref="FW16:FW17"/>
    <mergeCell ref="FX16:FX17"/>
    <mergeCell ref="DU16:DU17"/>
    <mergeCell ref="DV16:DV17"/>
    <mergeCell ref="DW16:DW17"/>
    <mergeCell ref="DX16:DX17"/>
    <mergeCell ref="DY16:DY17"/>
    <mergeCell ref="DZ16:DZ17"/>
    <mergeCell ref="EA16:EA17"/>
    <mergeCell ref="EB16:EB17"/>
    <mergeCell ref="EC16:EC17"/>
    <mergeCell ref="ED16:ED17"/>
    <mergeCell ref="EE16:EE17"/>
    <mergeCell ref="EF16:EF17"/>
    <mergeCell ref="EG16:EG17"/>
    <mergeCell ref="EH16:EH17"/>
    <mergeCell ref="EI16:EI17"/>
    <mergeCell ref="EJ16:EJ17"/>
    <mergeCell ref="EK16:EK17"/>
    <mergeCell ref="EL16:EL17"/>
    <mergeCell ref="EM16:EM17"/>
    <mergeCell ref="EN16:EN17"/>
    <mergeCell ref="EO16:EO17"/>
    <mergeCell ref="EP16:EP17"/>
    <mergeCell ref="EQ16:EQ17"/>
    <mergeCell ref="ER16:ER17"/>
    <mergeCell ref="ES16:ES17"/>
    <mergeCell ref="ET16:ET17"/>
    <mergeCell ref="EU16:EU17"/>
    <mergeCell ref="EV16:EV17"/>
    <mergeCell ref="EW16:EW17"/>
    <mergeCell ref="EX16:EX17"/>
    <mergeCell ref="EY16:EY17"/>
    <mergeCell ref="EZ16:EZ17"/>
    <mergeCell ref="FA16:FA17"/>
    <mergeCell ref="FB16:FB17"/>
    <mergeCell ref="FC16:FC17"/>
    <mergeCell ref="FD16:FD17"/>
    <mergeCell ref="FE16:FE17"/>
    <mergeCell ref="FF16:FF17"/>
    <mergeCell ref="FG16:FG17"/>
    <mergeCell ref="FH16:FH17"/>
    <mergeCell ref="FI16:FI17"/>
    <mergeCell ref="FJ16:FJ17"/>
    <mergeCell ref="FK16:FK17"/>
    <mergeCell ref="FL16:FL17"/>
    <mergeCell ref="FM16:FM17"/>
    <mergeCell ref="FN16:FN17"/>
    <mergeCell ref="FO16:FO17"/>
    <mergeCell ref="FP16:FP17"/>
    <mergeCell ref="FQ16:FQ17"/>
    <mergeCell ref="O18:O19"/>
    <mergeCell ref="P18:P19"/>
    <mergeCell ref="Q18:Q19"/>
    <mergeCell ref="O12:O13"/>
    <mergeCell ref="P12:P13"/>
    <mergeCell ref="O14:O15"/>
    <mergeCell ref="P14:P15"/>
    <mergeCell ref="O16:O17"/>
    <mergeCell ref="P16:P17"/>
    <mergeCell ref="Q16:Q17"/>
    <mergeCell ref="G18:G19"/>
    <mergeCell ref="G20:G21"/>
    <mergeCell ref="G12:G13"/>
    <mergeCell ref="H12:H13"/>
    <mergeCell ref="G14:G15"/>
    <mergeCell ref="H14:H15"/>
    <mergeCell ref="G16:G17"/>
    <mergeCell ref="H16:H17"/>
    <mergeCell ref="H18:H19"/>
    <mergeCell ref="H20:H21"/>
    <mergeCell ref="K18:K19"/>
    <mergeCell ref="K20:K21"/>
    <mergeCell ref="K12:K13"/>
    <mergeCell ref="L12:L13"/>
    <mergeCell ref="K14:K15"/>
    <mergeCell ref="L14:L15"/>
    <mergeCell ref="K16:K17"/>
    <mergeCell ref="L16:L17"/>
    <mergeCell ref="L18:L19"/>
    <mergeCell ref="L20:L21"/>
    <mergeCell ref="M18:M19"/>
    <mergeCell ref="M20:M21"/>
    <mergeCell ref="O20:O21"/>
    <mergeCell ref="P20:P21"/>
    <mergeCell ref="Q20:Q21"/>
    <mergeCell ref="R20:R21"/>
    <mergeCell ref="S20:S21"/>
    <mergeCell ref="T20:T21"/>
    <mergeCell ref="U20:U21"/>
    <mergeCell ref="V20:V21"/>
    <mergeCell ref="W20:W21"/>
    <mergeCell ref="X20:X21"/>
    <mergeCell ref="Y20:Y21"/>
    <mergeCell ref="Z20:Z21"/>
    <mergeCell ref="AA20:AA21"/>
    <mergeCell ref="AB20:AB21"/>
    <mergeCell ref="AC20:AC21"/>
    <mergeCell ref="AD20:AD21"/>
    <mergeCell ref="AE20:AE21"/>
    <mergeCell ref="AF20:AF21"/>
    <mergeCell ref="AG20:AG21"/>
    <mergeCell ref="AH20:AH21"/>
    <mergeCell ref="AI20:AI21"/>
    <mergeCell ref="AJ20:AJ21"/>
    <mergeCell ref="AK20:AK21"/>
    <mergeCell ref="AL20:AL21"/>
    <mergeCell ref="AM20:AM21"/>
    <mergeCell ref="AN20:AN21"/>
    <mergeCell ref="AO20:AO21"/>
    <mergeCell ref="AP20:AP21"/>
    <mergeCell ref="AQ20:AQ21"/>
    <mergeCell ref="AR20:AR21"/>
    <mergeCell ref="AS20:AS21"/>
    <mergeCell ref="AT20:AT21"/>
    <mergeCell ref="AU20:AU21"/>
    <mergeCell ref="AV20:AV21"/>
    <mergeCell ref="AW20:AW21"/>
    <mergeCell ref="AX20:AX21"/>
    <mergeCell ref="AY20:AY21"/>
    <mergeCell ref="AZ20:AZ21"/>
    <mergeCell ref="BA20:BA21"/>
    <mergeCell ref="BB20:BB21"/>
    <mergeCell ref="BC20:BC21"/>
    <mergeCell ref="BD20:BD21"/>
    <mergeCell ref="BE20:BE21"/>
    <mergeCell ref="BF20:BF21"/>
    <mergeCell ref="BG20:BG21"/>
    <mergeCell ref="BH20:BH21"/>
    <mergeCell ref="BI20:BI21"/>
    <mergeCell ref="BJ20:BJ21"/>
    <mergeCell ref="BK20:BK21"/>
    <mergeCell ref="BL20:BL21"/>
    <mergeCell ref="BM20:BM21"/>
    <mergeCell ref="BN20:BN21"/>
    <mergeCell ref="BO20:BO21"/>
    <mergeCell ref="BP20:BP21"/>
    <mergeCell ref="BQ20:BQ21"/>
    <mergeCell ref="BR20:BR21"/>
    <mergeCell ref="BS20:BS21"/>
    <mergeCell ref="BT20:BT21"/>
    <mergeCell ref="BU20:BU21"/>
    <mergeCell ref="BV20:BV21"/>
    <mergeCell ref="BW20:BW21"/>
    <mergeCell ref="BX20:BX21"/>
    <mergeCell ref="BY20:BY21"/>
    <mergeCell ref="BZ20:BZ21"/>
    <mergeCell ref="CA20:CA21"/>
    <mergeCell ref="CB20:CB21"/>
    <mergeCell ref="CC20:CC21"/>
    <mergeCell ref="CD20:CD21"/>
    <mergeCell ref="CE20:CE21"/>
    <mergeCell ref="CF20:CF21"/>
    <mergeCell ref="CG20:CG21"/>
    <mergeCell ref="CH20:CH21"/>
    <mergeCell ref="CI20:CI21"/>
    <mergeCell ref="CJ20:CJ21"/>
    <mergeCell ref="CK20:CK21"/>
    <mergeCell ref="CL20:CL21"/>
    <mergeCell ref="CM20:CM21"/>
    <mergeCell ref="CN20:CN21"/>
    <mergeCell ref="CO20:CO21"/>
    <mergeCell ref="CP20:CP21"/>
    <mergeCell ref="CQ20:CQ21"/>
    <mergeCell ref="CR20:CR21"/>
    <mergeCell ref="CS20:CS21"/>
    <mergeCell ref="CT20:CT21"/>
    <mergeCell ref="CU20:CU21"/>
    <mergeCell ref="CV20:CV21"/>
    <mergeCell ref="CW20:CW21"/>
    <mergeCell ref="CX20:CX21"/>
    <mergeCell ref="CY20:CY21"/>
    <mergeCell ref="CZ20:CZ21"/>
    <mergeCell ref="DA20:DA21"/>
    <mergeCell ref="DB20:DB21"/>
    <mergeCell ref="DC20:DC21"/>
    <mergeCell ref="DD20:DD21"/>
    <mergeCell ref="DE20:DE21"/>
    <mergeCell ref="DF20:DF21"/>
    <mergeCell ref="FD20:FD21"/>
    <mergeCell ref="FE20:FE21"/>
    <mergeCell ref="FF20:FF21"/>
    <mergeCell ref="FG20:FG21"/>
    <mergeCell ref="FH20:FH21"/>
    <mergeCell ref="FI20:FI21"/>
    <mergeCell ref="FJ20:FJ21"/>
    <mergeCell ref="FK20:FK21"/>
    <mergeCell ref="FL20:FL21"/>
    <mergeCell ref="FM20:FM21"/>
    <mergeCell ref="FN20:FN21"/>
    <mergeCell ref="FO20:FO21"/>
    <mergeCell ref="FP20:FP21"/>
    <mergeCell ref="FQ20:FQ21"/>
    <mergeCell ref="FR20:FR21"/>
    <mergeCell ref="FS20:FS21"/>
    <mergeCell ref="FT20:FT21"/>
    <mergeCell ref="FU20:FU21"/>
    <mergeCell ref="FV20:FV21"/>
    <mergeCell ref="FW20:FW21"/>
    <mergeCell ref="FX20:FX21"/>
    <mergeCell ref="FY20:FY21"/>
    <mergeCell ref="FZ20:FZ21"/>
    <mergeCell ref="GA20:GA21"/>
    <mergeCell ref="GB20:GB21"/>
    <mergeCell ref="GC20:GC21"/>
    <mergeCell ref="GD20:GD21"/>
    <mergeCell ref="GE20:GE21"/>
    <mergeCell ref="GF20:GF21"/>
    <mergeCell ref="GG20:GG21"/>
    <mergeCell ref="GH20:GH21"/>
    <mergeCell ref="GI20:GI21"/>
    <mergeCell ref="GJ20:GJ21"/>
    <mergeCell ref="GK20:GK21"/>
    <mergeCell ref="GL20:GL21"/>
    <mergeCell ref="GT20:GT21"/>
    <mergeCell ref="GU20:GU21"/>
    <mergeCell ref="GV20:GV21"/>
    <mergeCell ref="GW20:GW21"/>
    <mergeCell ref="GX20:GX21"/>
    <mergeCell ref="GY20:GY21"/>
    <mergeCell ref="GZ20:GZ21"/>
    <mergeCell ref="GM20:GM21"/>
    <mergeCell ref="GN20:GN21"/>
    <mergeCell ref="GO20:GO21"/>
    <mergeCell ref="GP20:GP21"/>
    <mergeCell ref="GQ20:GQ21"/>
    <mergeCell ref="GR20:GR21"/>
    <mergeCell ref="GS20:GS21"/>
    <mergeCell ref="DG20:DG21"/>
    <mergeCell ref="DH20:DH21"/>
    <mergeCell ref="DI20:DI21"/>
    <mergeCell ref="DJ20:DJ21"/>
    <mergeCell ref="DK20:DK21"/>
    <mergeCell ref="DL20:DL21"/>
    <mergeCell ref="DM20:DM21"/>
    <mergeCell ref="DN20:DN21"/>
    <mergeCell ref="DO20:DO21"/>
    <mergeCell ref="DP20:DP21"/>
    <mergeCell ref="DQ20:DQ21"/>
    <mergeCell ref="DR20:DR21"/>
    <mergeCell ref="DS20:DS21"/>
    <mergeCell ref="DT20:DT21"/>
    <mergeCell ref="DU20:DU21"/>
    <mergeCell ref="DV20:DV21"/>
    <mergeCell ref="DW20:DW21"/>
    <mergeCell ref="DX20:DX21"/>
    <mergeCell ref="DY20:DY21"/>
    <mergeCell ref="DZ20:DZ21"/>
    <mergeCell ref="EA20:EA21"/>
    <mergeCell ref="EB20:EB21"/>
    <mergeCell ref="EC20:EC21"/>
    <mergeCell ref="ED20:ED21"/>
    <mergeCell ref="EE20:EE21"/>
    <mergeCell ref="EF20:EF21"/>
    <mergeCell ref="EG20:EG21"/>
    <mergeCell ref="EH20:EH21"/>
    <mergeCell ref="EI20:EI21"/>
    <mergeCell ref="EJ20:EJ21"/>
    <mergeCell ref="EK20:EK21"/>
    <mergeCell ref="EL20:EL21"/>
    <mergeCell ref="EM20:EM21"/>
    <mergeCell ref="EN20:EN21"/>
    <mergeCell ref="EO20:EO21"/>
    <mergeCell ref="EP20:EP21"/>
    <mergeCell ref="EQ20:EQ21"/>
    <mergeCell ref="ER20:ER21"/>
    <mergeCell ref="ES20:ES21"/>
    <mergeCell ref="ET20:ET21"/>
    <mergeCell ref="EU20:EU21"/>
    <mergeCell ref="EV20:EV21"/>
    <mergeCell ref="EW20:EW21"/>
    <mergeCell ref="EX20:EX21"/>
    <mergeCell ref="EY20:EY21"/>
    <mergeCell ref="EZ20:EZ21"/>
    <mergeCell ref="FA20:FA21"/>
    <mergeCell ref="FB20:FB21"/>
    <mergeCell ref="FC20:FC21"/>
    <mergeCell ref="GH24:GH25"/>
    <mergeCell ref="GI24:GI25"/>
    <mergeCell ref="GA24:GA25"/>
    <mergeCell ref="GB24:GB25"/>
    <mergeCell ref="GC24:GC25"/>
    <mergeCell ref="GD24:GD25"/>
    <mergeCell ref="GE24:GE25"/>
    <mergeCell ref="GF24:GF25"/>
    <mergeCell ref="GG24:GG25"/>
    <mergeCell ref="ED24:ED25"/>
    <mergeCell ref="EE24:EE25"/>
    <mergeCell ref="EF24:EF25"/>
    <mergeCell ref="EG24:EG25"/>
    <mergeCell ref="EH24:EH25"/>
    <mergeCell ref="EI24:EI25"/>
    <mergeCell ref="EJ24:EJ25"/>
    <mergeCell ref="EK24:EK25"/>
    <mergeCell ref="EL24:EL25"/>
    <mergeCell ref="EM24:EM25"/>
    <mergeCell ref="EN24:EN25"/>
    <mergeCell ref="EO24:EO25"/>
    <mergeCell ref="EP24:EP25"/>
    <mergeCell ref="EQ24:EQ25"/>
    <mergeCell ref="ER24:ER25"/>
    <mergeCell ref="ES24:ES25"/>
    <mergeCell ref="ET24:ET25"/>
    <mergeCell ref="EU24:EU25"/>
    <mergeCell ref="EV24:EV25"/>
    <mergeCell ref="EW24:EW25"/>
    <mergeCell ref="EX24:EX25"/>
    <mergeCell ref="EY24:EY25"/>
    <mergeCell ref="EZ24:EZ25"/>
    <mergeCell ref="FA24:FA25"/>
    <mergeCell ref="FB24:FB25"/>
    <mergeCell ref="FC24:FC25"/>
    <mergeCell ref="FD24:FD25"/>
    <mergeCell ref="FE24:FE25"/>
    <mergeCell ref="FF24:FF25"/>
    <mergeCell ref="FG24:FG25"/>
    <mergeCell ref="FH24:FH25"/>
    <mergeCell ref="FI24:FI25"/>
    <mergeCell ref="FJ24:FJ25"/>
    <mergeCell ref="FK24:FK25"/>
    <mergeCell ref="FL24:FL25"/>
    <mergeCell ref="FM24:FM25"/>
    <mergeCell ref="FN24:FN25"/>
    <mergeCell ref="FO24:FO25"/>
    <mergeCell ref="FP24:FP25"/>
    <mergeCell ref="FQ24:FQ25"/>
    <mergeCell ref="FR24:FR25"/>
    <mergeCell ref="FS24:FS25"/>
    <mergeCell ref="FT24:FT25"/>
    <mergeCell ref="FU24:FU25"/>
    <mergeCell ref="FV24:FV25"/>
    <mergeCell ref="FW24:FW25"/>
    <mergeCell ref="FX24:FX25"/>
    <mergeCell ref="FY24:FY25"/>
    <mergeCell ref="FZ24:FZ25"/>
    <mergeCell ref="I18:I19"/>
    <mergeCell ref="I20:I21"/>
    <mergeCell ref="I22:I23"/>
    <mergeCell ref="I12:I13"/>
    <mergeCell ref="J12:J13"/>
    <mergeCell ref="I14:I15"/>
    <mergeCell ref="J14:J15"/>
    <mergeCell ref="I16:I17"/>
    <mergeCell ref="J16:J17"/>
    <mergeCell ref="J18:J19"/>
    <mergeCell ref="P22:P23"/>
    <mergeCell ref="Q22:Q23"/>
    <mergeCell ref="R22:R23"/>
    <mergeCell ref="S22:S23"/>
    <mergeCell ref="T22:T23"/>
    <mergeCell ref="U22:U23"/>
    <mergeCell ref="V22:V23"/>
    <mergeCell ref="W22:W23"/>
    <mergeCell ref="X22:X23"/>
    <mergeCell ref="Y22:Y23"/>
    <mergeCell ref="Z22:Z23"/>
    <mergeCell ref="AA22:AA23"/>
    <mergeCell ref="AB22:AB23"/>
    <mergeCell ref="AC22:AC23"/>
    <mergeCell ref="AD22:AD23"/>
    <mergeCell ref="AE22:AE23"/>
    <mergeCell ref="AF22:AF23"/>
    <mergeCell ref="AG22:AG23"/>
    <mergeCell ref="AH22:AH23"/>
    <mergeCell ref="AI22:AI23"/>
    <mergeCell ref="AJ22:AJ23"/>
    <mergeCell ref="AK22:AK23"/>
    <mergeCell ref="AL22:AL23"/>
    <mergeCell ref="AM22:AM23"/>
    <mergeCell ref="AN22:AN23"/>
    <mergeCell ref="AO22:AO23"/>
    <mergeCell ref="AP22:AP23"/>
    <mergeCell ref="AQ22:AQ23"/>
    <mergeCell ref="AR22:AR23"/>
    <mergeCell ref="AS22:AS23"/>
    <mergeCell ref="AT22:AT23"/>
    <mergeCell ref="AU22:AU23"/>
    <mergeCell ref="AV22:AV23"/>
    <mergeCell ref="AW22:AW23"/>
    <mergeCell ref="AX22:AX23"/>
    <mergeCell ref="AY22:AY23"/>
    <mergeCell ref="AZ22:AZ23"/>
    <mergeCell ref="BA22:BA23"/>
    <mergeCell ref="BB22:BB23"/>
    <mergeCell ref="BC22:BC23"/>
    <mergeCell ref="BD22:BD23"/>
    <mergeCell ref="BE22:BE23"/>
    <mergeCell ref="BF22:BF23"/>
    <mergeCell ref="BG22:BG23"/>
    <mergeCell ref="BH22:BH23"/>
    <mergeCell ref="BI22:BI23"/>
    <mergeCell ref="BJ22:BJ23"/>
    <mergeCell ref="BK22:BK23"/>
    <mergeCell ref="BL22:BL23"/>
    <mergeCell ref="BM22:BM23"/>
    <mergeCell ref="BN22:BN23"/>
    <mergeCell ref="BO22:BO23"/>
    <mergeCell ref="BP22:BP23"/>
    <mergeCell ref="BQ22:BQ23"/>
    <mergeCell ref="BR22:BR23"/>
    <mergeCell ref="BS22:BS23"/>
    <mergeCell ref="BT22:BT23"/>
    <mergeCell ref="BU22:BU23"/>
    <mergeCell ref="BV22:BV23"/>
    <mergeCell ref="BW22:BW23"/>
    <mergeCell ref="BX22:BX23"/>
    <mergeCell ref="BY22:BY23"/>
    <mergeCell ref="BZ22:BZ23"/>
    <mergeCell ref="CA22:CA23"/>
    <mergeCell ref="CB22:CB23"/>
    <mergeCell ref="CC22:CC23"/>
    <mergeCell ref="CD22:CD23"/>
    <mergeCell ref="CE22:CE23"/>
    <mergeCell ref="CF22:CF23"/>
    <mergeCell ref="CG22:CG23"/>
    <mergeCell ref="CH22:CH23"/>
    <mergeCell ref="CI22:CI23"/>
    <mergeCell ref="CJ22:CJ23"/>
    <mergeCell ref="CK22:CK23"/>
    <mergeCell ref="CL22:CL23"/>
    <mergeCell ref="CM22:CM23"/>
    <mergeCell ref="CN22:CN23"/>
    <mergeCell ref="CO22:CO23"/>
    <mergeCell ref="CP22:CP23"/>
    <mergeCell ref="CQ22:CQ23"/>
    <mergeCell ref="CR22:CR23"/>
    <mergeCell ref="CS22:CS23"/>
    <mergeCell ref="CT22:CT23"/>
    <mergeCell ref="CU22:CU23"/>
    <mergeCell ref="CV22:CV23"/>
    <mergeCell ref="CW22:CW23"/>
    <mergeCell ref="CX22:CX23"/>
    <mergeCell ref="CY22:CY23"/>
    <mergeCell ref="CZ22:CZ23"/>
    <mergeCell ref="DA22:DA23"/>
    <mergeCell ref="DB22:DB23"/>
    <mergeCell ref="DC22:DC23"/>
    <mergeCell ref="DD22:DD23"/>
    <mergeCell ref="DE22:DE23"/>
    <mergeCell ref="DF22:DF23"/>
    <mergeCell ref="DG22:DG23"/>
    <mergeCell ref="DH22:DH23"/>
    <mergeCell ref="DI22:DI23"/>
    <mergeCell ref="L24:L25"/>
    <mergeCell ref="M24:M25"/>
    <mergeCell ref="C24:C25"/>
    <mergeCell ref="D24:D25"/>
    <mergeCell ref="G24:G25"/>
    <mergeCell ref="H24:H25"/>
    <mergeCell ref="I24:I25"/>
    <mergeCell ref="J24:J25"/>
    <mergeCell ref="K24:K25"/>
    <mergeCell ref="AA24:AA25"/>
    <mergeCell ref="AB24:AB25"/>
    <mergeCell ref="AC24:AC25"/>
    <mergeCell ref="AD24:AD25"/>
    <mergeCell ref="AE24:AE25"/>
    <mergeCell ref="AF24:AF25"/>
    <mergeCell ref="AG24:AG25"/>
    <mergeCell ref="AH24:AH25"/>
    <mergeCell ref="AI24:AI25"/>
    <mergeCell ref="AJ24:AJ25"/>
    <mergeCell ref="AK24:AK25"/>
    <mergeCell ref="AL24:AL25"/>
    <mergeCell ref="AM24:AM25"/>
    <mergeCell ref="AN24:AN25"/>
    <mergeCell ref="AO24:AO25"/>
    <mergeCell ref="AP24:AP25"/>
    <mergeCell ref="AQ24:AQ25"/>
    <mergeCell ref="AR24:AR25"/>
    <mergeCell ref="AS24:AS25"/>
    <mergeCell ref="AT24:AT25"/>
    <mergeCell ref="AU24:AU25"/>
    <mergeCell ref="AV24:AV25"/>
    <mergeCell ref="AW24:AW25"/>
    <mergeCell ref="AX24:AX25"/>
    <mergeCell ref="AY24:AY25"/>
    <mergeCell ref="AZ24:AZ25"/>
    <mergeCell ref="BA24:BA25"/>
    <mergeCell ref="BB24:BB25"/>
    <mergeCell ref="BC24:BC25"/>
    <mergeCell ref="BD24:BD25"/>
    <mergeCell ref="BE24:BE25"/>
    <mergeCell ref="BF24:BF25"/>
    <mergeCell ref="BG24:BG25"/>
    <mergeCell ref="BH24:BH25"/>
    <mergeCell ref="BI24:BI25"/>
    <mergeCell ref="BJ24:BJ25"/>
    <mergeCell ref="BK24:BK25"/>
    <mergeCell ref="BL24:BL25"/>
    <mergeCell ref="BM24:BM25"/>
    <mergeCell ref="BN24:BN25"/>
    <mergeCell ref="BO24:BO25"/>
    <mergeCell ref="BP24:BP25"/>
    <mergeCell ref="BQ24:BQ25"/>
    <mergeCell ref="BR24:BR25"/>
    <mergeCell ref="BS24:BS25"/>
    <mergeCell ref="BT24:BT25"/>
    <mergeCell ref="BU24:BU25"/>
    <mergeCell ref="BV24:BV25"/>
    <mergeCell ref="BW24:BW25"/>
    <mergeCell ref="DJ22:DJ23"/>
    <mergeCell ref="DK22:DK23"/>
    <mergeCell ref="DL22:DL23"/>
    <mergeCell ref="DM22:DM23"/>
    <mergeCell ref="DN22:DN23"/>
    <mergeCell ref="DO22:DO23"/>
    <mergeCell ref="DP22:DP23"/>
    <mergeCell ref="DQ22:DQ23"/>
    <mergeCell ref="DR22:DR23"/>
    <mergeCell ref="DS22:DS23"/>
    <mergeCell ref="DT22:DT23"/>
    <mergeCell ref="DU22:DU23"/>
    <mergeCell ref="DV22:DV23"/>
    <mergeCell ref="DW22:DW23"/>
    <mergeCell ref="EE22:EE23"/>
    <mergeCell ref="EF22:EF23"/>
    <mergeCell ref="EG22:EG23"/>
    <mergeCell ref="EH22:EH23"/>
    <mergeCell ref="EI22:EI23"/>
    <mergeCell ref="EJ22:EJ23"/>
    <mergeCell ref="EK22:EK23"/>
    <mergeCell ref="EL22:EL23"/>
    <mergeCell ref="EM22:EM23"/>
    <mergeCell ref="EN22:EN23"/>
    <mergeCell ref="EO22:EO23"/>
    <mergeCell ref="EP22:EP23"/>
    <mergeCell ref="EQ22:EQ23"/>
    <mergeCell ref="ER22:ER23"/>
    <mergeCell ref="ES22:ES23"/>
    <mergeCell ref="ET22:ET23"/>
    <mergeCell ref="EU22:EU23"/>
    <mergeCell ref="EV22:EV23"/>
    <mergeCell ref="EW22:EW23"/>
    <mergeCell ref="EX22:EX23"/>
    <mergeCell ref="EY22:EY23"/>
    <mergeCell ref="EZ22:EZ23"/>
    <mergeCell ref="FA22:FA23"/>
    <mergeCell ref="FB22:FB23"/>
    <mergeCell ref="FC22:FC23"/>
    <mergeCell ref="FD22:FD23"/>
    <mergeCell ref="FE22:FE23"/>
    <mergeCell ref="FF22:FF23"/>
    <mergeCell ref="DX22:DX23"/>
    <mergeCell ref="DY22:DY23"/>
    <mergeCell ref="DZ22:DZ23"/>
    <mergeCell ref="EA22:EA23"/>
    <mergeCell ref="EB22:EB23"/>
    <mergeCell ref="EC22:EC23"/>
    <mergeCell ref="ED22:ED23"/>
    <mergeCell ref="GJ24:GJ25"/>
    <mergeCell ref="GK24:GK25"/>
    <mergeCell ref="GL24:GL25"/>
    <mergeCell ref="GM24:GM25"/>
    <mergeCell ref="GN24:GN25"/>
    <mergeCell ref="GO24:GO25"/>
    <mergeCell ref="GP24:GP25"/>
    <mergeCell ref="GX24:GX25"/>
    <mergeCell ref="GY24:GY25"/>
    <mergeCell ref="GZ24:GZ25"/>
    <mergeCell ref="GQ24:GQ25"/>
    <mergeCell ref="GR24:GR25"/>
    <mergeCell ref="GS24:GS25"/>
    <mergeCell ref="GT24:GT25"/>
    <mergeCell ref="GU24:GU25"/>
    <mergeCell ref="GV24:GV25"/>
    <mergeCell ref="GW24:GW25"/>
    <mergeCell ref="FG22:FG23"/>
    <mergeCell ref="FH22:FH23"/>
    <mergeCell ref="FI22:FI23"/>
    <mergeCell ref="FJ22:FJ23"/>
    <mergeCell ref="FK22:FK23"/>
    <mergeCell ref="FL22:FL23"/>
    <mergeCell ref="FM22:FM23"/>
    <mergeCell ref="FN22:FN23"/>
    <mergeCell ref="FO22:FO23"/>
    <mergeCell ref="FP22:FP23"/>
    <mergeCell ref="FQ22:FQ23"/>
    <mergeCell ref="FR22:FR23"/>
    <mergeCell ref="FS22:FS23"/>
    <mergeCell ref="FT22:FT23"/>
    <mergeCell ref="FU22:FU23"/>
    <mergeCell ref="FV22:FV23"/>
    <mergeCell ref="FW22:FW23"/>
    <mergeCell ref="FX22:FX23"/>
    <mergeCell ref="FY22:FY23"/>
    <mergeCell ref="FZ22:FZ23"/>
    <mergeCell ref="GA22:GA23"/>
    <mergeCell ref="GB22:GB23"/>
    <mergeCell ref="GC22:GC23"/>
    <mergeCell ref="GD22:GD23"/>
    <mergeCell ref="GE22:GE23"/>
    <mergeCell ref="GF22:GF23"/>
    <mergeCell ref="GG22:GG23"/>
    <mergeCell ref="GH22:GH23"/>
    <mergeCell ref="GW22:GW23"/>
    <mergeCell ref="GX22:GX23"/>
    <mergeCell ref="GY22:GY23"/>
    <mergeCell ref="GZ22:GZ23"/>
    <mergeCell ref="GP22:GP23"/>
    <mergeCell ref="GQ22:GQ23"/>
    <mergeCell ref="GR22:GR23"/>
    <mergeCell ref="GS22:GS23"/>
    <mergeCell ref="GT22:GT23"/>
    <mergeCell ref="GU22:GU23"/>
    <mergeCell ref="GV22:GV23"/>
    <mergeCell ref="GI22:GI23"/>
    <mergeCell ref="GJ22:GJ23"/>
    <mergeCell ref="GK22:GK23"/>
    <mergeCell ref="GL22:GL23"/>
    <mergeCell ref="GM22:GM23"/>
    <mergeCell ref="GN22:GN23"/>
    <mergeCell ref="GO22:GO23"/>
    <mergeCell ref="J20:J21"/>
    <mergeCell ref="J22:J23"/>
    <mergeCell ref="K22:K23"/>
    <mergeCell ref="L22:L23"/>
    <mergeCell ref="M22:M23"/>
    <mergeCell ref="N22:N23"/>
    <mergeCell ref="O22:O23"/>
    <mergeCell ref="N20:N21"/>
    <mergeCell ref="N24:N25"/>
    <mergeCell ref="O24:O25"/>
    <mergeCell ref="P24:P25"/>
    <mergeCell ref="Q24:Q25"/>
    <mergeCell ref="R24:R25"/>
    <mergeCell ref="S24:S25"/>
    <mergeCell ref="L26:L27"/>
    <mergeCell ref="M26:M27"/>
    <mergeCell ref="C26:C27"/>
    <mergeCell ref="D26:D27"/>
    <mergeCell ref="G26:G27"/>
    <mergeCell ref="H26:H27"/>
    <mergeCell ref="I26:I27"/>
    <mergeCell ref="J26:J27"/>
    <mergeCell ref="K26:K27"/>
    <mergeCell ref="C18:C19"/>
    <mergeCell ref="D18:D19"/>
    <mergeCell ref="Q12:Q13"/>
    <mergeCell ref="R12:R13"/>
    <mergeCell ref="Q14:Q15"/>
    <mergeCell ref="R14:R15"/>
    <mergeCell ref="S14:S15"/>
    <mergeCell ref="T14:T15"/>
    <mergeCell ref="U14:U15"/>
    <mergeCell ref="C16:C17"/>
    <mergeCell ref="C20:C21"/>
    <mergeCell ref="D20:D21"/>
    <mergeCell ref="C22:C23"/>
    <mergeCell ref="D22:D23"/>
    <mergeCell ref="G22:G23"/>
    <mergeCell ref="H22:H23"/>
    <mergeCell ref="C12:C13"/>
    <mergeCell ref="D12:D13"/>
    <mergeCell ref="B14:B19"/>
    <mergeCell ref="C14:C15"/>
    <mergeCell ref="D14:D15"/>
    <mergeCell ref="D16:D17"/>
    <mergeCell ref="B20:B27"/>
    <mergeCell ref="M12:M13"/>
    <mergeCell ref="N12:N13"/>
    <mergeCell ref="M14:M15"/>
    <mergeCell ref="N14:N15"/>
    <mergeCell ref="M16:M17"/>
    <mergeCell ref="N16:N17"/>
    <mergeCell ref="N18:N19"/>
    <mergeCell ref="W26:W27"/>
    <mergeCell ref="X26:X27"/>
    <mergeCell ref="Y26:Y27"/>
    <mergeCell ref="Z26:Z27"/>
    <mergeCell ref="T24:T25"/>
    <mergeCell ref="U24:U25"/>
    <mergeCell ref="V24:V25"/>
    <mergeCell ref="W24:W25"/>
    <mergeCell ref="X24:X25"/>
    <mergeCell ref="Y24:Y25"/>
    <mergeCell ref="Z24:Z25"/>
    <mergeCell ref="N26:N27"/>
    <mergeCell ref="O26:O27"/>
    <mergeCell ref="P26:P27"/>
    <mergeCell ref="Q26:Q27"/>
    <mergeCell ref="R26:R27"/>
    <mergeCell ref="S26:S27"/>
    <mergeCell ref="T26:T27"/>
    <mergeCell ref="U26:U27"/>
    <mergeCell ref="V26:V27"/>
    <mergeCell ref="AA26:AA27"/>
    <mergeCell ref="AB26:AB27"/>
    <mergeCell ref="AC26:AC27"/>
    <mergeCell ref="AD26:AD27"/>
    <mergeCell ref="AE26:AE27"/>
    <mergeCell ref="AF26:AF27"/>
    <mergeCell ref="AG26:AG27"/>
    <mergeCell ref="AH26:AH27"/>
    <mergeCell ref="AI26:AI27"/>
    <mergeCell ref="AJ26:AJ27"/>
    <mergeCell ref="AK26:AK27"/>
    <mergeCell ref="AL26:AL27"/>
    <mergeCell ref="AM26:AM27"/>
    <mergeCell ref="AN26:AN27"/>
    <mergeCell ref="AO26:AO27"/>
    <mergeCell ref="AP26:AP27"/>
    <mergeCell ref="AQ26:AQ27"/>
    <mergeCell ref="AR26:AR27"/>
    <mergeCell ref="AS26:AS27"/>
    <mergeCell ref="AT26:AT27"/>
    <mergeCell ref="AU26:AU27"/>
    <mergeCell ref="AV26:AV27"/>
    <mergeCell ref="AW26:AW27"/>
    <mergeCell ref="AX26:AX27"/>
    <mergeCell ref="AY26:AY27"/>
    <mergeCell ref="AZ26:AZ27"/>
    <mergeCell ref="BA26:BA27"/>
    <mergeCell ref="BB26:BB27"/>
    <mergeCell ref="BC26:BC27"/>
    <mergeCell ref="BD26:BD27"/>
    <mergeCell ref="BE26:BE27"/>
    <mergeCell ref="BF26:BF27"/>
    <mergeCell ref="BG26:BG27"/>
    <mergeCell ref="BH26:BH27"/>
    <mergeCell ref="BI26:BI27"/>
    <mergeCell ref="BJ26:BJ27"/>
    <mergeCell ref="BK26:BK27"/>
    <mergeCell ref="BL26:BL27"/>
    <mergeCell ref="BM26:BM27"/>
    <mergeCell ref="BN26:BN27"/>
    <mergeCell ref="BO26:BO27"/>
    <mergeCell ref="BP26:BP27"/>
    <mergeCell ref="BQ26:BQ27"/>
    <mergeCell ref="BR26:BR27"/>
    <mergeCell ref="BS26:BS27"/>
    <mergeCell ref="BT26:BT27"/>
    <mergeCell ref="BU26:BU27"/>
    <mergeCell ref="BV26:BV27"/>
    <mergeCell ref="BW26:BW27"/>
    <mergeCell ref="BX26:BX27"/>
    <mergeCell ref="BY26:BY27"/>
    <mergeCell ref="BZ26:BZ27"/>
    <mergeCell ref="CA26:CA27"/>
    <mergeCell ref="CB26:CB27"/>
    <mergeCell ref="CC26:CC27"/>
    <mergeCell ref="CD26:CD27"/>
    <mergeCell ref="CE26:CE27"/>
    <mergeCell ref="CF26:CF27"/>
    <mergeCell ref="CG26:CG27"/>
    <mergeCell ref="CH26:CH27"/>
    <mergeCell ref="CI26:CI27"/>
    <mergeCell ref="CJ26:CJ27"/>
    <mergeCell ref="CK26:CK27"/>
    <mergeCell ref="CL26:CL27"/>
    <mergeCell ref="CM26:CM27"/>
    <mergeCell ref="CN26:CN27"/>
    <mergeCell ref="CO26:CO27"/>
    <mergeCell ref="CP26:CP27"/>
    <mergeCell ref="CQ26:CQ27"/>
    <mergeCell ref="CR26:CR27"/>
    <mergeCell ref="CS26:CS27"/>
    <mergeCell ref="CT26:CT27"/>
    <mergeCell ref="CU26:CU27"/>
    <mergeCell ref="CV26:CV27"/>
    <mergeCell ref="CW26:CW27"/>
    <mergeCell ref="CX26:CX27"/>
    <mergeCell ref="CY26:CY27"/>
    <mergeCell ref="CZ26:CZ27"/>
    <mergeCell ref="DA26:DA27"/>
    <mergeCell ref="DB26:DB27"/>
    <mergeCell ref="DC26:DC27"/>
    <mergeCell ref="DD26:DD27"/>
    <mergeCell ref="DE26:DE27"/>
    <mergeCell ref="DF26:DF27"/>
    <mergeCell ref="DG26:DG27"/>
    <mergeCell ref="DH26:DH27"/>
    <mergeCell ref="DI26:DI27"/>
    <mergeCell ref="DJ26:DJ27"/>
    <mergeCell ref="DK26:DK27"/>
    <mergeCell ref="FI26:FI27"/>
    <mergeCell ref="FJ26:FJ27"/>
    <mergeCell ref="FK26:FK27"/>
    <mergeCell ref="FL26:FL27"/>
    <mergeCell ref="FM26:FM27"/>
    <mergeCell ref="FN26:FN27"/>
    <mergeCell ref="FO26:FO27"/>
    <mergeCell ref="FP26:FP27"/>
    <mergeCell ref="FQ26:FQ27"/>
    <mergeCell ref="FR26:FR27"/>
    <mergeCell ref="FS26:FS27"/>
    <mergeCell ref="FT26:FT27"/>
    <mergeCell ref="FU26:FU27"/>
    <mergeCell ref="FV26:FV27"/>
    <mergeCell ref="FW26:FW27"/>
    <mergeCell ref="FX26:FX27"/>
    <mergeCell ref="FY26:FY27"/>
    <mergeCell ref="FZ26:FZ27"/>
    <mergeCell ref="GA26:GA27"/>
    <mergeCell ref="GB26:GB27"/>
    <mergeCell ref="GC26:GC27"/>
    <mergeCell ref="GD26:GD27"/>
    <mergeCell ref="GE26:GE27"/>
    <mergeCell ref="GF26:GF27"/>
    <mergeCell ref="GG26:GG27"/>
    <mergeCell ref="GH26:GH27"/>
    <mergeCell ref="GI26:GI27"/>
    <mergeCell ref="GJ26:GJ27"/>
    <mergeCell ref="GK26:GK27"/>
    <mergeCell ref="GL26:GL27"/>
    <mergeCell ref="GM26:GM27"/>
    <mergeCell ref="GN26:GN27"/>
    <mergeCell ref="GO26:GO27"/>
    <mergeCell ref="GP26:GP27"/>
    <mergeCell ref="GQ26:GQ27"/>
    <mergeCell ref="GY26:GY27"/>
    <mergeCell ref="GZ26:GZ27"/>
    <mergeCell ref="GR26:GR27"/>
    <mergeCell ref="GS26:GS27"/>
    <mergeCell ref="GT26:GT27"/>
    <mergeCell ref="GU26:GU27"/>
    <mergeCell ref="GV26:GV27"/>
    <mergeCell ref="GW26:GW27"/>
    <mergeCell ref="GX26:GX27"/>
    <mergeCell ref="DL26:DL27"/>
    <mergeCell ref="DM26:DM27"/>
    <mergeCell ref="DN26:DN27"/>
    <mergeCell ref="DO26:DO27"/>
    <mergeCell ref="DP26:DP27"/>
    <mergeCell ref="DQ26:DQ27"/>
    <mergeCell ref="DR26:DR27"/>
    <mergeCell ref="DS26:DS27"/>
    <mergeCell ref="DT26:DT27"/>
    <mergeCell ref="DU26:DU27"/>
    <mergeCell ref="DV26:DV27"/>
    <mergeCell ref="DW26:DW27"/>
    <mergeCell ref="DX26:DX27"/>
    <mergeCell ref="DY26:DY27"/>
    <mergeCell ref="DZ26:DZ27"/>
    <mergeCell ref="EA26:EA27"/>
    <mergeCell ref="EB26:EB27"/>
    <mergeCell ref="EC26:EC27"/>
    <mergeCell ref="ED26:ED27"/>
    <mergeCell ref="EE26:EE27"/>
    <mergeCell ref="EF26:EF27"/>
    <mergeCell ref="EG26:EG27"/>
    <mergeCell ref="EH26:EH27"/>
    <mergeCell ref="EI26:EI27"/>
    <mergeCell ref="EJ26:EJ27"/>
    <mergeCell ref="EK26:EK27"/>
    <mergeCell ref="EL26:EL27"/>
    <mergeCell ref="EM26:EM27"/>
    <mergeCell ref="EN26:EN27"/>
    <mergeCell ref="EO26:EO27"/>
    <mergeCell ref="EP26:EP27"/>
    <mergeCell ref="EQ26:EQ27"/>
    <mergeCell ref="ER26:ER27"/>
    <mergeCell ref="ES26:ES27"/>
    <mergeCell ref="ET26:ET27"/>
    <mergeCell ref="EU26:EU27"/>
    <mergeCell ref="EV26:EV27"/>
    <mergeCell ref="EW26:EW27"/>
    <mergeCell ref="EX26:EX27"/>
    <mergeCell ref="EY26:EY27"/>
    <mergeCell ref="EZ26:EZ27"/>
    <mergeCell ref="FA26:FA27"/>
    <mergeCell ref="FB26:FB27"/>
    <mergeCell ref="FC26:FC27"/>
    <mergeCell ref="FD26:FD27"/>
    <mergeCell ref="FE26:FE27"/>
    <mergeCell ref="FF26:FF27"/>
    <mergeCell ref="FG26:FG27"/>
    <mergeCell ref="FH26:FH27"/>
    <mergeCell ref="FK30:FK31"/>
    <mergeCell ref="FL30:FL31"/>
    <mergeCell ref="FD30:FD31"/>
    <mergeCell ref="FE30:FE31"/>
    <mergeCell ref="FF30:FF31"/>
    <mergeCell ref="FG30:FG31"/>
    <mergeCell ref="FH30:FH31"/>
    <mergeCell ref="FI30:FI31"/>
    <mergeCell ref="FJ30:FJ31"/>
    <mergeCell ref="DG30:DG31"/>
    <mergeCell ref="DH30:DH31"/>
    <mergeCell ref="DI30:DI31"/>
    <mergeCell ref="DJ30:DJ31"/>
    <mergeCell ref="DK30:DK31"/>
    <mergeCell ref="DL30:DL31"/>
    <mergeCell ref="DM30:DM31"/>
    <mergeCell ref="DN30:DN31"/>
    <mergeCell ref="DO30:DO31"/>
    <mergeCell ref="DP30:DP31"/>
    <mergeCell ref="DQ30:DQ31"/>
    <mergeCell ref="DR30:DR31"/>
    <mergeCell ref="DS30:DS31"/>
    <mergeCell ref="DT30:DT31"/>
    <mergeCell ref="DU30:DU31"/>
    <mergeCell ref="DV30:DV31"/>
    <mergeCell ref="DW30:DW31"/>
    <mergeCell ref="DX30:DX31"/>
    <mergeCell ref="DY30:DY31"/>
    <mergeCell ref="DZ30:DZ31"/>
    <mergeCell ref="EA30:EA31"/>
    <mergeCell ref="EB30:EB31"/>
    <mergeCell ref="EC30:EC31"/>
    <mergeCell ref="ED30:ED31"/>
    <mergeCell ref="EE30:EE31"/>
    <mergeCell ref="EF30:EF31"/>
    <mergeCell ref="EG30:EG31"/>
    <mergeCell ref="EH30:EH31"/>
    <mergeCell ref="EI30:EI31"/>
    <mergeCell ref="EJ30:EJ31"/>
    <mergeCell ref="EK30:EK31"/>
    <mergeCell ref="EL30:EL31"/>
    <mergeCell ref="EM30:EM31"/>
    <mergeCell ref="EN30:EN31"/>
    <mergeCell ref="EO30:EO31"/>
    <mergeCell ref="EP30:EP31"/>
    <mergeCell ref="EQ30:EQ31"/>
    <mergeCell ref="ER30:ER31"/>
    <mergeCell ref="ES30:ES31"/>
    <mergeCell ref="ET30:ET31"/>
    <mergeCell ref="EU30:EU31"/>
    <mergeCell ref="EV30:EV31"/>
    <mergeCell ref="EW30:EW31"/>
    <mergeCell ref="EX30:EX31"/>
    <mergeCell ref="EY30:EY31"/>
    <mergeCell ref="EZ30:EZ31"/>
    <mergeCell ref="FA30:FA31"/>
    <mergeCell ref="FB30:FB31"/>
    <mergeCell ref="FC30:FC31"/>
    <mergeCell ref="G30:G31"/>
    <mergeCell ref="H30:H31"/>
    <mergeCell ref="I30:I31"/>
    <mergeCell ref="J30:J31"/>
    <mergeCell ref="C32:C33"/>
    <mergeCell ref="D32:D33"/>
    <mergeCell ref="G32:G33"/>
    <mergeCell ref="H32:H33"/>
    <mergeCell ref="B28:B33"/>
    <mergeCell ref="C28:C29"/>
    <mergeCell ref="D28:D29"/>
    <mergeCell ref="G28:G29"/>
    <mergeCell ref="H28:H29"/>
    <mergeCell ref="I28:I29"/>
    <mergeCell ref="J28:J29"/>
    <mergeCell ref="I32:I33"/>
    <mergeCell ref="J32:J33"/>
    <mergeCell ref="K32:K33"/>
    <mergeCell ref="L32:L33"/>
    <mergeCell ref="M32:M33"/>
    <mergeCell ref="N32:N33"/>
    <mergeCell ref="O32:O33"/>
    <mergeCell ref="P32:P33"/>
    <mergeCell ref="Q32:Q33"/>
    <mergeCell ref="R32:R33"/>
    <mergeCell ref="S32:S33"/>
    <mergeCell ref="T32:T33"/>
    <mergeCell ref="U32:U33"/>
    <mergeCell ref="V32:V33"/>
    <mergeCell ref="W32:W33"/>
    <mergeCell ref="X32:X33"/>
    <mergeCell ref="Y32:Y33"/>
    <mergeCell ref="Z32:Z33"/>
    <mergeCell ref="AA32:AA33"/>
    <mergeCell ref="AB32:AB33"/>
    <mergeCell ref="AC32:AC33"/>
    <mergeCell ref="AD32:AD33"/>
    <mergeCell ref="AE32:AE33"/>
    <mergeCell ref="AF32:AF33"/>
    <mergeCell ref="AG32:AG33"/>
    <mergeCell ref="AH32:AH33"/>
    <mergeCell ref="AI32:AI33"/>
    <mergeCell ref="AJ32:AJ33"/>
    <mergeCell ref="AK32:AK33"/>
    <mergeCell ref="AL32:AL33"/>
    <mergeCell ref="AM32:AM33"/>
    <mergeCell ref="AN32:AN33"/>
    <mergeCell ref="AO32:AO33"/>
    <mergeCell ref="AP32:AP33"/>
    <mergeCell ref="AQ32:AQ33"/>
    <mergeCell ref="AR32:AR33"/>
    <mergeCell ref="AS32:AS33"/>
    <mergeCell ref="AT32:AT33"/>
    <mergeCell ref="AU32:AU33"/>
    <mergeCell ref="AV32:AV33"/>
    <mergeCell ref="AW32:AW33"/>
    <mergeCell ref="AX32:AX33"/>
    <mergeCell ref="AY32:AY33"/>
    <mergeCell ref="AZ32:AZ33"/>
    <mergeCell ref="BA32:BA33"/>
    <mergeCell ref="BB32:BB33"/>
    <mergeCell ref="BC32:BC33"/>
    <mergeCell ref="BD32:BD33"/>
    <mergeCell ref="BE32:BE33"/>
    <mergeCell ref="BF32:BF33"/>
    <mergeCell ref="BG32:BG33"/>
    <mergeCell ref="BH32:BH33"/>
    <mergeCell ref="BI32:BI33"/>
    <mergeCell ref="BJ32:BJ33"/>
    <mergeCell ref="BK32:BK33"/>
    <mergeCell ref="BL32:BL33"/>
    <mergeCell ref="BM32:BM33"/>
    <mergeCell ref="BN32:BN33"/>
    <mergeCell ref="BO32:BO33"/>
    <mergeCell ref="BP32:BP33"/>
    <mergeCell ref="BQ32:BQ33"/>
    <mergeCell ref="BR32:BR33"/>
    <mergeCell ref="BS32:BS33"/>
    <mergeCell ref="BT32:BT33"/>
    <mergeCell ref="BU32:BU33"/>
    <mergeCell ref="BV32:BV33"/>
    <mergeCell ref="BW32:BW33"/>
    <mergeCell ref="BX32:BX33"/>
    <mergeCell ref="BY32:BY33"/>
    <mergeCell ref="BZ32:BZ33"/>
    <mergeCell ref="CA32:CA33"/>
    <mergeCell ref="CB32:CB33"/>
    <mergeCell ref="CC32:CC33"/>
    <mergeCell ref="CD32:CD33"/>
    <mergeCell ref="CE32:CE33"/>
    <mergeCell ref="CF32:CF33"/>
    <mergeCell ref="CG32:CG33"/>
    <mergeCell ref="CH32:CH33"/>
    <mergeCell ref="CI32:CI33"/>
    <mergeCell ref="CJ32:CJ33"/>
    <mergeCell ref="CK32:CK33"/>
    <mergeCell ref="CL32:CL33"/>
    <mergeCell ref="CM32:CM33"/>
    <mergeCell ref="CN32:CN33"/>
    <mergeCell ref="CO32:CO33"/>
    <mergeCell ref="CP32:CP33"/>
    <mergeCell ref="CQ32:CQ33"/>
    <mergeCell ref="CR32:CR33"/>
    <mergeCell ref="CS32:CS33"/>
    <mergeCell ref="CT32:CT33"/>
    <mergeCell ref="CU32:CU33"/>
    <mergeCell ref="CV32:CV33"/>
    <mergeCell ref="CW32:CW33"/>
    <mergeCell ref="CX32:CX33"/>
    <mergeCell ref="CY32:CY33"/>
    <mergeCell ref="CZ32:CZ33"/>
    <mergeCell ref="DA32:DA33"/>
    <mergeCell ref="DB32:DB33"/>
    <mergeCell ref="DC32:DC33"/>
    <mergeCell ref="DD32:DD33"/>
    <mergeCell ref="DE32:DE33"/>
    <mergeCell ref="DF32:DF33"/>
    <mergeCell ref="DG32:DG33"/>
    <mergeCell ref="DH32:DH33"/>
    <mergeCell ref="DI32:DI33"/>
    <mergeCell ref="DJ32:DJ33"/>
    <mergeCell ref="DK32:DK33"/>
    <mergeCell ref="DL32:DL33"/>
    <mergeCell ref="DM32:DM33"/>
    <mergeCell ref="DN32:DN33"/>
    <mergeCell ref="DO32:DO33"/>
    <mergeCell ref="DP32:DP33"/>
    <mergeCell ref="FN32:FN33"/>
    <mergeCell ref="FO32:FO33"/>
    <mergeCell ref="FP32:FP33"/>
    <mergeCell ref="FQ32:FQ33"/>
    <mergeCell ref="FR32:FR33"/>
    <mergeCell ref="FS32:FS33"/>
    <mergeCell ref="FT32:FT33"/>
    <mergeCell ref="FU32:FU33"/>
    <mergeCell ref="FV32:FV33"/>
    <mergeCell ref="FW32:FW33"/>
    <mergeCell ref="FX32:FX33"/>
    <mergeCell ref="FY32:FY33"/>
    <mergeCell ref="FZ32:FZ33"/>
    <mergeCell ref="GA32:GA33"/>
    <mergeCell ref="GB32:GB33"/>
    <mergeCell ref="GC32:GC33"/>
    <mergeCell ref="GD32:GD33"/>
    <mergeCell ref="GE32:GE33"/>
    <mergeCell ref="GF32:GF33"/>
    <mergeCell ref="GG32:GG33"/>
    <mergeCell ref="GH32:GH33"/>
    <mergeCell ref="GI32:GI33"/>
    <mergeCell ref="GJ32:GJ33"/>
    <mergeCell ref="GK32:GK33"/>
    <mergeCell ref="GL32:GL33"/>
    <mergeCell ref="GM32:GM33"/>
    <mergeCell ref="GN32:GN33"/>
    <mergeCell ref="GO32:GO33"/>
    <mergeCell ref="GW32:GW33"/>
    <mergeCell ref="GX32:GX33"/>
    <mergeCell ref="GY32:GY33"/>
    <mergeCell ref="GZ32:GZ33"/>
    <mergeCell ref="GP32:GP33"/>
    <mergeCell ref="GQ32:GQ33"/>
    <mergeCell ref="GR32:GR33"/>
    <mergeCell ref="GS32:GS33"/>
    <mergeCell ref="GT32:GT33"/>
    <mergeCell ref="GU32:GU33"/>
    <mergeCell ref="GV32:GV33"/>
    <mergeCell ref="DQ32:DQ33"/>
    <mergeCell ref="DR32:DR33"/>
    <mergeCell ref="DS32:DS33"/>
    <mergeCell ref="DT32:DT33"/>
    <mergeCell ref="DU32:DU33"/>
    <mergeCell ref="DV32:DV33"/>
    <mergeCell ref="DW32:DW33"/>
    <mergeCell ref="DX32:DX33"/>
    <mergeCell ref="DY32:DY33"/>
    <mergeCell ref="DZ32:DZ33"/>
    <mergeCell ref="EA32:EA33"/>
    <mergeCell ref="EB32:EB33"/>
    <mergeCell ref="EC32:EC33"/>
    <mergeCell ref="ED32:ED33"/>
    <mergeCell ref="EE32:EE33"/>
    <mergeCell ref="EF32:EF33"/>
    <mergeCell ref="EG32:EG33"/>
    <mergeCell ref="EH32:EH33"/>
    <mergeCell ref="EI32:EI33"/>
    <mergeCell ref="EJ32:EJ33"/>
    <mergeCell ref="EK32:EK33"/>
    <mergeCell ref="EL32:EL33"/>
    <mergeCell ref="EM32:EM33"/>
    <mergeCell ref="EN32:EN33"/>
    <mergeCell ref="EO32:EO33"/>
    <mergeCell ref="EP32:EP33"/>
    <mergeCell ref="EQ32:EQ33"/>
    <mergeCell ref="ER32:ER33"/>
    <mergeCell ref="ES32:ES33"/>
    <mergeCell ref="ET32:ET33"/>
    <mergeCell ref="EU32:EU33"/>
    <mergeCell ref="EV32:EV33"/>
    <mergeCell ref="EW32:EW33"/>
    <mergeCell ref="EX32:EX33"/>
    <mergeCell ref="EY32:EY33"/>
    <mergeCell ref="EZ32:EZ33"/>
    <mergeCell ref="FA32:FA33"/>
    <mergeCell ref="FB32:FB33"/>
    <mergeCell ref="FC32:FC33"/>
    <mergeCell ref="FD32:FD33"/>
    <mergeCell ref="FE32:FE33"/>
    <mergeCell ref="FF32:FF33"/>
    <mergeCell ref="FG32:FG33"/>
    <mergeCell ref="FH32:FH33"/>
    <mergeCell ref="FI32:FI33"/>
    <mergeCell ref="FJ32:FJ33"/>
    <mergeCell ref="FK32:FK33"/>
    <mergeCell ref="FL32:FL33"/>
    <mergeCell ref="FM32:FM33"/>
    <mergeCell ref="EB24:EB25"/>
    <mergeCell ref="EC24:EC25"/>
    <mergeCell ref="DU24:DU25"/>
    <mergeCell ref="DV24:DV25"/>
    <mergeCell ref="DW24:DW25"/>
    <mergeCell ref="DX24:DX25"/>
    <mergeCell ref="DY24:DY25"/>
    <mergeCell ref="DZ24:DZ25"/>
    <mergeCell ref="EA24:EA25"/>
    <mergeCell ref="CE24:CE25"/>
    <mergeCell ref="CF24:CF25"/>
    <mergeCell ref="CG24:CG25"/>
    <mergeCell ref="CH24:CH25"/>
    <mergeCell ref="CI24:CI25"/>
    <mergeCell ref="CJ24:CJ25"/>
    <mergeCell ref="CK24:CK25"/>
    <mergeCell ref="CL24:CL25"/>
    <mergeCell ref="CM24:CM25"/>
    <mergeCell ref="CN24:CN25"/>
    <mergeCell ref="CO24:CO25"/>
    <mergeCell ref="CP24:CP25"/>
    <mergeCell ref="CQ24:CQ25"/>
    <mergeCell ref="CR24:CR25"/>
    <mergeCell ref="CS24:CS25"/>
    <mergeCell ref="CT24:CT25"/>
    <mergeCell ref="CU24:CU25"/>
    <mergeCell ref="CV24:CV25"/>
    <mergeCell ref="CW24:CW25"/>
    <mergeCell ref="CX24:CX25"/>
    <mergeCell ref="CY24:CY25"/>
    <mergeCell ref="CZ24:CZ25"/>
    <mergeCell ref="DA24:DA25"/>
    <mergeCell ref="DB24:DB25"/>
    <mergeCell ref="DC24:DC25"/>
    <mergeCell ref="DD24:DD25"/>
    <mergeCell ref="DE24:DE25"/>
    <mergeCell ref="DF24:DF25"/>
    <mergeCell ref="DG24:DG25"/>
    <mergeCell ref="DH24:DH25"/>
    <mergeCell ref="DI24:DI25"/>
    <mergeCell ref="DJ24:DJ25"/>
    <mergeCell ref="DK24:DK25"/>
    <mergeCell ref="DL24:DL25"/>
    <mergeCell ref="DM24:DM25"/>
    <mergeCell ref="DN24:DN25"/>
    <mergeCell ref="DO24:DO25"/>
    <mergeCell ref="DP24:DP25"/>
    <mergeCell ref="DQ24:DQ25"/>
    <mergeCell ref="DR24:DR25"/>
    <mergeCell ref="DS24:DS25"/>
    <mergeCell ref="DT24:DT25"/>
    <mergeCell ref="BX24:BX25"/>
    <mergeCell ref="BY24:BY25"/>
    <mergeCell ref="BZ24:BZ25"/>
    <mergeCell ref="CA24:CA25"/>
    <mergeCell ref="CB24:CB25"/>
    <mergeCell ref="CC24:CC25"/>
    <mergeCell ref="CD24:CD25"/>
    <mergeCell ref="GY28:GY29"/>
    <mergeCell ref="GZ28:GZ29"/>
    <mergeCell ref="GR28:GR29"/>
    <mergeCell ref="GS28:GS29"/>
    <mergeCell ref="GT28:GT29"/>
    <mergeCell ref="GU28:GU29"/>
    <mergeCell ref="GV28:GV29"/>
    <mergeCell ref="GW28:GW29"/>
    <mergeCell ref="GX28:GX29"/>
    <mergeCell ref="BH28:BH29"/>
    <mergeCell ref="BI28:BI29"/>
    <mergeCell ref="BJ28:BJ29"/>
    <mergeCell ref="BK28:BK29"/>
    <mergeCell ref="BL28:BL29"/>
    <mergeCell ref="BM28:BM29"/>
    <mergeCell ref="BN28:BN29"/>
    <mergeCell ref="BO28:BO29"/>
    <mergeCell ref="BP28:BP29"/>
    <mergeCell ref="BQ28:BQ29"/>
    <mergeCell ref="BR28:BR29"/>
    <mergeCell ref="BS28:BS29"/>
    <mergeCell ref="BT28:BT29"/>
    <mergeCell ref="BU28:BU29"/>
    <mergeCell ref="BV28:BV29"/>
    <mergeCell ref="BW28:BW29"/>
    <mergeCell ref="BX28:BX29"/>
    <mergeCell ref="BY28:BY29"/>
    <mergeCell ref="BZ28:BZ29"/>
    <mergeCell ref="CA28:CA29"/>
    <mergeCell ref="CB28:CB29"/>
    <mergeCell ref="CC28:CC29"/>
    <mergeCell ref="CD28:CD29"/>
    <mergeCell ref="CE28:CE29"/>
    <mergeCell ref="CF28:CF29"/>
    <mergeCell ref="CG28:CG29"/>
    <mergeCell ref="CH28:CH29"/>
    <mergeCell ref="CI28:CI29"/>
    <mergeCell ref="CJ28:CJ29"/>
    <mergeCell ref="CK28:CK29"/>
    <mergeCell ref="CL28:CL29"/>
    <mergeCell ref="CM28:CM29"/>
    <mergeCell ref="CN28:CN29"/>
    <mergeCell ref="CO28:CO29"/>
    <mergeCell ref="CP28:CP29"/>
    <mergeCell ref="CQ28:CQ29"/>
    <mergeCell ref="CR28:CR29"/>
    <mergeCell ref="CS28:CS29"/>
    <mergeCell ref="CT28:CT29"/>
    <mergeCell ref="CU28:CU29"/>
    <mergeCell ref="CV28:CV29"/>
    <mergeCell ref="CW28:CW29"/>
    <mergeCell ref="BA28:BA29"/>
    <mergeCell ref="BB28:BB29"/>
    <mergeCell ref="BC28:BC29"/>
    <mergeCell ref="BD28:BD29"/>
    <mergeCell ref="BE28:BE29"/>
    <mergeCell ref="BF28:BF29"/>
    <mergeCell ref="BG28:BG29"/>
    <mergeCell ref="CX28:CX29"/>
    <mergeCell ref="CY28:CY29"/>
    <mergeCell ref="CZ28:CZ29"/>
    <mergeCell ref="DA28:DA29"/>
    <mergeCell ref="DB28:DB29"/>
    <mergeCell ref="DC28:DC29"/>
    <mergeCell ref="DD28:DD29"/>
    <mergeCell ref="DL28:DL29"/>
    <mergeCell ref="DM28:DM29"/>
    <mergeCell ref="DN28:DN29"/>
    <mergeCell ref="DO28:DO29"/>
    <mergeCell ref="DP28:DP29"/>
    <mergeCell ref="DQ28:DQ29"/>
    <mergeCell ref="DR28:DR29"/>
    <mergeCell ref="DS28:DS29"/>
    <mergeCell ref="DT28:DT29"/>
    <mergeCell ref="DU28:DU29"/>
    <mergeCell ref="DV28:DV29"/>
    <mergeCell ref="DW28:DW29"/>
    <mergeCell ref="DX28:DX29"/>
    <mergeCell ref="DY28:DY29"/>
    <mergeCell ref="DZ28:DZ29"/>
    <mergeCell ref="EA28:EA29"/>
    <mergeCell ref="EB28:EB29"/>
    <mergeCell ref="EC28:EC29"/>
    <mergeCell ref="ED28:ED29"/>
    <mergeCell ref="EE28:EE29"/>
    <mergeCell ref="EF28:EF29"/>
    <mergeCell ref="EG28:EG29"/>
    <mergeCell ref="EH28:EH29"/>
    <mergeCell ref="EI28:EI29"/>
    <mergeCell ref="EJ28:EJ29"/>
    <mergeCell ref="EK28:EK29"/>
    <mergeCell ref="EL28:EL29"/>
    <mergeCell ref="EM28:EM29"/>
    <mergeCell ref="EN28:EN29"/>
    <mergeCell ref="EO28:EO29"/>
    <mergeCell ref="EP28:EP29"/>
    <mergeCell ref="EQ28:EQ29"/>
    <mergeCell ref="ER28:ER29"/>
    <mergeCell ref="ES28:ES29"/>
    <mergeCell ref="ET28:ET29"/>
    <mergeCell ref="DE28:DE29"/>
    <mergeCell ref="DF28:DF29"/>
    <mergeCell ref="DG28:DG29"/>
    <mergeCell ref="DH28:DH29"/>
    <mergeCell ref="DI28:DI29"/>
    <mergeCell ref="DJ28:DJ29"/>
    <mergeCell ref="DK28:DK29"/>
    <mergeCell ref="FM30:FM31"/>
    <mergeCell ref="FN30:FN31"/>
    <mergeCell ref="FO30:FO31"/>
    <mergeCell ref="FP30:FP31"/>
    <mergeCell ref="FQ30:FQ31"/>
    <mergeCell ref="FR30:FR31"/>
    <mergeCell ref="FS30:FS31"/>
    <mergeCell ref="FT30:FT31"/>
    <mergeCell ref="FU30:FU31"/>
    <mergeCell ref="FV30:FV31"/>
    <mergeCell ref="FW30:FW31"/>
    <mergeCell ref="FX30:FX31"/>
    <mergeCell ref="FY30:FY31"/>
    <mergeCell ref="FZ30:FZ31"/>
    <mergeCell ref="GA30:GA31"/>
    <mergeCell ref="GB30:GB31"/>
    <mergeCell ref="GC30:GC31"/>
    <mergeCell ref="GD30:GD31"/>
    <mergeCell ref="GE30:GE31"/>
    <mergeCell ref="GF30:GF31"/>
    <mergeCell ref="GG30:GG31"/>
    <mergeCell ref="GH30:GH31"/>
    <mergeCell ref="GI30:GI31"/>
    <mergeCell ref="GJ30:GJ31"/>
    <mergeCell ref="GK30:GK31"/>
    <mergeCell ref="GL30:GL31"/>
    <mergeCell ref="GM30:GM31"/>
    <mergeCell ref="GN30:GN31"/>
    <mergeCell ref="GV30:GV31"/>
    <mergeCell ref="GW30:GW31"/>
    <mergeCell ref="GX30:GX31"/>
    <mergeCell ref="GY30:GY31"/>
    <mergeCell ref="GZ30:GZ31"/>
    <mergeCell ref="GO30:GO31"/>
    <mergeCell ref="GP30:GP31"/>
    <mergeCell ref="GQ30:GQ31"/>
    <mergeCell ref="GR30:GR31"/>
    <mergeCell ref="GS30:GS31"/>
    <mergeCell ref="GT30:GT31"/>
    <mergeCell ref="GU30:GU31"/>
    <mergeCell ref="EU28:EU29"/>
    <mergeCell ref="EV28:EV29"/>
    <mergeCell ref="EW28:EW29"/>
    <mergeCell ref="EX28:EX29"/>
    <mergeCell ref="EY28:EY29"/>
    <mergeCell ref="EZ28:EZ29"/>
    <mergeCell ref="FA28:FA29"/>
    <mergeCell ref="FB28:FB29"/>
    <mergeCell ref="FC28:FC29"/>
    <mergeCell ref="FD28:FD29"/>
    <mergeCell ref="FE28:FE29"/>
    <mergeCell ref="FF28:FF29"/>
    <mergeCell ref="FG28:FG29"/>
    <mergeCell ref="FH28:FH29"/>
    <mergeCell ref="FP28:FP29"/>
    <mergeCell ref="FQ28:FQ29"/>
    <mergeCell ref="FR28:FR29"/>
    <mergeCell ref="FS28:FS29"/>
    <mergeCell ref="FT28:FT29"/>
    <mergeCell ref="FU28:FU29"/>
    <mergeCell ref="FV28:FV29"/>
    <mergeCell ref="FW28:FW29"/>
    <mergeCell ref="FX28:FX29"/>
    <mergeCell ref="FY28:FY29"/>
    <mergeCell ref="FZ28:FZ29"/>
    <mergeCell ref="GA28:GA29"/>
    <mergeCell ref="GB28:GB29"/>
    <mergeCell ref="GC28:GC29"/>
    <mergeCell ref="GD28:GD29"/>
    <mergeCell ref="GE28:GE29"/>
    <mergeCell ref="GF28:GF29"/>
    <mergeCell ref="GG28:GG29"/>
    <mergeCell ref="GH28:GH29"/>
    <mergeCell ref="GI28:GI29"/>
    <mergeCell ref="GJ28:GJ29"/>
    <mergeCell ref="GK28:GK29"/>
    <mergeCell ref="GL28:GL29"/>
    <mergeCell ref="GM28:GM29"/>
    <mergeCell ref="GN28:GN29"/>
    <mergeCell ref="GO28:GO29"/>
    <mergeCell ref="GP28:GP29"/>
    <mergeCell ref="GQ28:GQ29"/>
    <mergeCell ref="FI28:FI29"/>
    <mergeCell ref="FJ28:FJ29"/>
    <mergeCell ref="FK28:FK29"/>
    <mergeCell ref="FL28:FL29"/>
    <mergeCell ref="FM28:FM29"/>
    <mergeCell ref="FN28:FN29"/>
    <mergeCell ref="FO28:FO29"/>
    <mergeCell ref="EL3:GZ3"/>
    <mergeCell ref="EM4:FS4"/>
    <mergeCell ref="FT4:GZ4"/>
    <mergeCell ref="EO6:ES6"/>
    <mergeCell ref="ET6:EX6"/>
    <mergeCell ref="EY6:FC6"/>
    <mergeCell ref="FE6:FI6"/>
    <mergeCell ref="FJ6:FN6"/>
    <mergeCell ref="FO6:FS6"/>
    <mergeCell ref="FV6:FZ6"/>
    <mergeCell ref="GA6:GE6"/>
    <mergeCell ref="GF6:GJ6"/>
    <mergeCell ref="GL6:GP6"/>
    <mergeCell ref="GQ6:GU6"/>
    <mergeCell ref="GV6:GZ6"/>
    <mergeCell ref="G2:GZ2"/>
    <mergeCell ref="G3:G6"/>
    <mergeCell ref="H3:BV3"/>
    <mergeCell ref="BW3:EK3"/>
    <mergeCell ref="I4:AO4"/>
    <mergeCell ref="DV5:EK5"/>
    <mergeCell ref="GK5:GZ5"/>
    <mergeCell ref="EN5:FC5"/>
    <mergeCell ref="FD5:FS5"/>
    <mergeCell ref="FT5:FT6"/>
    <mergeCell ref="FU5:GJ5"/>
    <mergeCell ref="H4:H6"/>
    <mergeCell ref="K6:O6"/>
    <mergeCell ref="P6:T6"/>
    <mergeCell ref="U6:Y6"/>
    <mergeCell ref="AA6:AE6"/>
    <mergeCell ref="AF6:AJ6"/>
    <mergeCell ref="AK6:AO6"/>
    <mergeCell ref="AR6:AV6"/>
    <mergeCell ref="AW6:BA6"/>
    <mergeCell ref="BB6:BF6"/>
    <mergeCell ref="AP4:BV4"/>
    <mergeCell ref="BW4:BW6"/>
    <mergeCell ref="AP5:AP6"/>
    <mergeCell ref="AQ5:BF5"/>
    <mergeCell ref="BG5:BV5"/>
    <mergeCell ref="BH6:BL6"/>
    <mergeCell ref="BM6:BQ6"/>
    <mergeCell ref="BR6:BV6"/>
    <mergeCell ref="BX4:DD4"/>
    <mergeCell ref="DE4:EK4"/>
    <mergeCell ref="Z5:AO5"/>
    <mergeCell ref="BX5:BX6"/>
    <mergeCell ref="BZ6:CD6"/>
    <mergeCell ref="CE6:CI6"/>
    <mergeCell ref="CJ6:CN6"/>
    <mergeCell ref="CP6:CT6"/>
    <mergeCell ref="CU6:CY6"/>
    <mergeCell ref="BY5:CN5"/>
    <mergeCell ref="CO5:DD5"/>
    <mergeCell ref="EL4:EL6"/>
    <mergeCell ref="EM5:EM6"/>
    <mergeCell ref="EB6:EF6"/>
    <mergeCell ref="EG6:EK6"/>
    <mergeCell ref="DE5:DE6"/>
    <mergeCell ref="DF5:DU5"/>
    <mergeCell ref="CZ6:DD6"/>
    <mergeCell ref="DG6:DK6"/>
    <mergeCell ref="DL6:DP6"/>
    <mergeCell ref="DQ6:DU6"/>
    <mergeCell ref="DW6:EA6"/>
    <mergeCell ref="BN8:BN9"/>
    <mergeCell ref="BO8:BO9"/>
    <mergeCell ref="BP8:BP9"/>
    <mergeCell ref="BQ8:BQ9"/>
    <mergeCell ref="BR8:BR9"/>
    <mergeCell ref="BS8:BS9"/>
    <mergeCell ref="BT8:BT9"/>
    <mergeCell ref="BU8:BU9"/>
    <mergeCell ref="BV8:BV9"/>
    <mergeCell ref="BW8:BW9"/>
    <mergeCell ref="BX8:BX9"/>
    <mergeCell ref="BY8:BY9"/>
    <mergeCell ref="BZ8:BZ9"/>
    <mergeCell ref="CA8:CA9"/>
    <mergeCell ref="CB8:CB9"/>
    <mergeCell ref="CC8:CC9"/>
    <mergeCell ref="CD8:CD9"/>
    <mergeCell ref="CE8:CE9"/>
    <mergeCell ref="CF8:CF9"/>
    <mergeCell ref="CG8:CG9"/>
    <mergeCell ref="CH8:CH9"/>
    <mergeCell ref="CI8:CI9"/>
    <mergeCell ref="CJ8:CJ9"/>
    <mergeCell ref="CK8:CK9"/>
    <mergeCell ref="CL8:CL9"/>
    <mergeCell ref="CM8:CM9"/>
    <mergeCell ref="CN8:CN9"/>
    <mergeCell ref="CO8:CO9"/>
    <mergeCell ref="CP8:CP9"/>
    <mergeCell ref="CQ8:CQ9"/>
    <mergeCell ref="CR8:CR9"/>
    <mergeCell ref="CS8:CS9"/>
    <mergeCell ref="CT8:CT9"/>
    <mergeCell ref="CU8:CU9"/>
    <mergeCell ref="CV8:CV9"/>
    <mergeCell ref="CW8:CW9"/>
    <mergeCell ref="CX8:CX9"/>
    <mergeCell ref="CY8:CY9"/>
    <mergeCell ref="CZ8:CZ9"/>
    <mergeCell ref="DA8:DA9"/>
    <mergeCell ref="DB8:DB9"/>
    <mergeCell ref="DC8:DC9"/>
    <mergeCell ref="BG8:BG9"/>
    <mergeCell ref="BH8:BH9"/>
    <mergeCell ref="BI8:BI9"/>
    <mergeCell ref="BJ8:BJ9"/>
    <mergeCell ref="BK8:BK9"/>
    <mergeCell ref="BL8:BL9"/>
    <mergeCell ref="BM8:BM9"/>
    <mergeCell ref="DD8:DD9"/>
    <mergeCell ref="DE8:DE9"/>
    <mergeCell ref="DF8:DF9"/>
    <mergeCell ref="DG8:DG9"/>
    <mergeCell ref="DH8:DH9"/>
    <mergeCell ref="DI8:DI9"/>
    <mergeCell ref="DJ8:DJ9"/>
    <mergeCell ref="DR8:DR9"/>
    <mergeCell ref="DS8:DS9"/>
    <mergeCell ref="DT8:DT9"/>
    <mergeCell ref="DU8:DU9"/>
    <mergeCell ref="DV8:DV9"/>
    <mergeCell ref="DW8:DW9"/>
    <mergeCell ref="DX8:DX9"/>
    <mergeCell ref="DY8:DY9"/>
    <mergeCell ref="DZ8:DZ9"/>
    <mergeCell ref="EA8:EA9"/>
    <mergeCell ref="EB8:EB9"/>
    <mergeCell ref="EC8:EC9"/>
    <mergeCell ref="ED8:ED9"/>
    <mergeCell ref="EE8:EE9"/>
    <mergeCell ref="EF8:EF9"/>
    <mergeCell ref="EG8:EG9"/>
    <mergeCell ref="EH8:EH9"/>
    <mergeCell ref="EI8:EI9"/>
    <mergeCell ref="EJ8:EJ9"/>
    <mergeCell ref="EK8:EK9"/>
    <mergeCell ref="EL8:EL9"/>
    <mergeCell ref="EM8:EM9"/>
    <mergeCell ref="EN8:EN9"/>
    <mergeCell ref="EO8:EO9"/>
    <mergeCell ref="EP8:EP9"/>
    <mergeCell ref="EQ8:EQ9"/>
    <mergeCell ref="ER8:ER9"/>
    <mergeCell ref="ES8:ES9"/>
    <mergeCell ref="ET8:ET9"/>
    <mergeCell ref="EU8:EU9"/>
    <mergeCell ref="EV8:EV9"/>
    <mergeCell ref="EW8:EW9"/>
    <mergeCell ref="EX8:EX9"/>
    <mergeCell ref="EY8:EY9"/>
    <mergeCell ref="EZ8:EZ9"/>
    <mergeCell ref="DK8:DK9"/>
    <mergeCell ref="DL8:DL9"/>
    <mergeCell ref="DM8:DM9"/>
    <mergeCell ref="DN8:DN9"/>
    <mergeCell ref="DO8:DO9"/>
    <mergeCell ref="DP8:DP9"/>
    <mergeCell ref="DQ8:DQ9"/>
    <mergeCell ref="GG10:GG11"/>
    <mergeCell ref="GH10:GH11"/>
    <mergeCell ref="FZ10:FZ11"/>
    <mergeCell ref="GA10:GA11"/>
    <mergeCell ref="GB10:GB11"/>
    <mergeCell ref="GC10:GC11"/>
    <mergeCell ref="GD10:GD11"/>
    <mergeCell ref="GE10:GE11"/>
    <mergeCell ref="GF10:GF11"/>
    <mergeCell ref="EV12:EV13"/>
    <mergeCell ref="EW12:EW13"/>
    <mergeCell ref="EX12:EX13"/>
    <mergeCell ref="EY12:EY13"/>
    <mergeCell ref="EZ12:EZ13"/>
    <mergeCell ref="FA12:FA13"/>
    <mergeCell ref="FB12:FB13"/>
    <mergeCell ref="FC12:FC13"/>
    <mergeCell ref="FD12:FD13"/>
    <mergeCell ref="FE12:FE13"/>
    <mergeCell ref="FF12:FF13"/>
    <mergeCell ref="FG12:FG13"/>
    <mergeCell ref="FH12:FH13"/>
    <mergeCell ref="FI12:FI13"/>
    <mergeCell ref="FJ12:FJ13"/>
    <mergeCell ref="FK12:FK13"/>
    <mergeCell ref="FL12:FL13"/>
    <mergeCell ref="FM12:FM13"/>
    <mergeCell ref="FN12:FN13"/>
    <mergeCell ref="FO12:FO13"/>
    <mergeCell ref="FP12:FP13"/>
    <mergeCell ref="FQ12:FQ13"/>
    <mergeCell ref="FR12:FR13"/>
    <mergeCell ref="FS12:FS13"/>
    <mergeCell ref="FT12:FT13"/>
    <mergeCell ref="FU12:FU13"/>
    <mergeCell ref="FV12:FV13"/>
    <mergeCell ref="FW12:FW13"/>
    <mergeCell ref="FX12:FX13"/>
    <mergeCell ref="FY12:FY13"/>
    <mergeCell ref="FZ12:FZ13"/>
    <mergeCell ref="GA12:GA13"/>
    <mergeCell ref="GB12:GB13"/>
    <mergeCell ref="GC12:GC13"/>
    <mergeCell ref="GD12:GD13"/>
    <mergeCell ref="GE12:GE13"/>
    <mergeCell ref="GF12:GF13"/>
    <mergeCell ref="GG12:GG13"/>
    <mergeCell ref="GH12:GH13"/>
    <mergeCell ref="GI12:GI13"/>
    <mergeCell ref="GJ12:GJ13"/>
    <mergeCell ref="GK12:GK13"/>
    <mergeCell ref="GS12:GS13"/>
    <mergeCell ref="GT12:GT13"/>
    <mergeCell ref="GU12:GU13"/>
    <mergeCell ref="GV12:GV13"/>
    <mergeCell ref="GW12:GW13"/>
    <mergeCell ref="GX12:GX13"/>
    <mergeCell ref="GY12:GY13"/>
    <mergeCell ref="GZ12:GZ13"/>
    <mergeCell ref="GL12:GL13"/>
    <mergeCell ref="GM12:GM13"/>
    <mergeCell ref="GN12:GN13"/>
    <mergeCell ref="GO12:GO13"/>
    <mergeCell ref="GP12:GP13"/>
    <mergeCell ref="GQ12:GQ13"/>
    <mergeCell ref="GR12:GR13"/>
    <mergeCell ref="AS12:AS13"/>
    <mergeCell ref="AT12:AT13"/>
    <mergeCell ref="AU12:AU13"/>
    <mergeCell ref="AV12:AV13"/>
    <mergeCell ref="AW12:AW13"/>
    <mergeCell ref="AX12:AX13"/>
    <mergeCell ref="AY12:AY13"/>
    <mergeCell ref="AZ12:AZ13"/>
    <mergeCell ref="BA12:BA13"/>
    <mergeCell ref="BB12:BB13"/>
    <mergeCell ref="BC12:BC13"/>
    <mergeCell ref="BD12:BD13"/>
    <mergeCell ref="BE12:BE13"/>
    <mergeCell ref="BF12:BF13"/>
    <mergeCell ref="BG12:BG13"/>
    <mergeCell ref="BH12:BH13"/>
    <mergeCell ref="BI12:BI13"/>
    <mergeCell ref="BJ12:BJ13"/>
    <mergeCell ref="BK12:BK13"/>
    <mergeCell ref="BL12:BL13"/>
    <mergeCell ref="BM12:BM13"/>
    <mergeCell ref="BN12:BN13"/>
    <mergeCell ref="BO12:BO13"/>
    <mergeCell ref="BP12:BP13"/>
    <mergeCell ref="BQ12:BQ13"/>
    <mergeCell ref="BR12:BR13"/>
    <mergeCell ref="BS12:BS13"/>
    <mergeCell ref="BT12:BT13"/>
    <mergeCell ref="BU12:BU13"/>
    <mergeCell ref="BV12:BV13"/>
    <mergeCell ref="BW12:BW13"/>
    <mergeCell ref="BX12:BX13"/>
    <mergeCell ref="BY12:BY13"/>
    <mergeCell ref="BZ12:BZ13"/>
    <mergeCell ref="CA12:CA13"/>
    <mergeCell ref="CB12:CB13"/>
    <mergeCell ref="CC12:CC13"/>
    <mergeCell ref="CD12:CD13"/>
    <mergeCell ref="CE12:CE13"/>
    <mergeCell ref="CF12:CF13"/>
    <mergeCell ref="CG12:CG13"/>
    <mergeCell ref="CH12:CH13"/>
    <mergeCell ref="CI12:CI13"/>
    <mergeCell ref="CJ12:CJ13"/>
    <mergeCell ref="CK12:CK13"/>
    <mergeCell ref="CL12:CL13"/>
    <mergeCell ref="CM12:CM13"/>
    <mergeCell ref="CN12:CN13"/>
    <mergeCell ref="CO12:CO13"/>
    <mergeCell ref="GX16:GX17"/>
    <mergeCell ref="GY16:GY17"/>
    <mergeCell ref="GQ16:GQ17"/>
    <mergeCell ref="GR16:GR17"/>
    <mergeCell ref="GS16:GS17"/>
    <mergeCell ref="GT16:GT17"/>
    <mergeCell ref="GU16:GU17"/>
    <mergeCell ref="GV16:GV17"/>
    <mergeCell ref="GW16:GW17"/>
    <mergeCell ref="FM14:FM15"/>
    <mergeCell ref="FN14:FN15"/>
    <mergeCell ref="FO14:FO15"/>
    <mergeCell ref="FP14:FP15"/>
    <mergeCell ref="FQ14:FQ15"/>
    <mergeCell ref="FR14:FR15"/>
    <mergeCell ref="FS14:FS15"/>
    <mergeCell ref="FT14:FT15"/>
    <mergeCell ref="FU14:FU15"/>
    <mergeCell ref="FV14:FV15"/>
    <mergeCell ref="FW14:FW15"/>
    <mergeCell ref="FX14:FX15"/>
    <mergeCell ref="FY14:FY15"/>
    <mergeCell ref="FZ14:FZ15"/>
    <mergeCell ref="GH14:GH15"/>
    <mergeCell ref="GI14:GI15"/>
    <mergeCell ref="GJ14:GJ15"/>
    <mergeCell ref="GK14:GK15"/>
    <mergeCell ref="GL14:GL15"/>
    <mergeCell ref="GM14:GM15"/>
    <mergeCell ref="GN14:GN15"/>
    <mergeCell ref="GV14:GV15"/>
    <mergeCell ref="GW14:GW15"/>
    <mergeCell ref="GX14:GX15"/>
    <mergeCell ref="GY14:GY15"/>
    <mergeCell ref="GZ14:GZ15"/>
    <mergeCell ref="GZ16:GZ17"/>
    <mergeCell ref="GA14:GA15"/>
    <mergeCell ref="GB14:GB15"/>
    <mergeCell ref="GC14:GC15"/>
    <mergeCell ref="GD14:GD15"/>
    <mergeCell ref="GE14:GE15"/>
    <mergeCell ref="GF14:GF15"/>
    <mergeCell ref="GG14:GG15"/>
    <mergeCell ref="GA16:GA17"/>
    <mergeCell ref="GB16:GB17"/>
    <mergeCell ref="GC16:GC17"/>
    <mergeCell ref="GD16:GD17"/>
    <mergeCell ref="GE16:GE17"/>
    <mergeCell ref="GF16:GF17"/>
    <mergeCell ref="GG16:GG17"/>
    <mergeCell ref="GO14:GO15"/>
    <mergeCell ref="GP14:GP15"/>
    <mergeCell ref="GQ14:GQ15"/>
    <mergeCell ref="GR14:GR15"/>
    <mergeCell ref="GS14:GS15"/>
    <mergeCell ref="GT14:GT15"/>
    <mergeCell ref="GU14:GU15"/>
    <mergeCell ref="DS18:DS19"/>
    <mergeCell ref="DT18:DT19"/>
    <mergeCell ref="DL18:DL19"/>
    <mergeCell ref="DM18:DM19"/>
    <mergeCell ref="DN18:DN19"/>
    <mergeCell ref="DO18:DO19"/>
    <mergeCell ref="DP18:DP19"/>
    <mergeCell ref="DQ18:DQ19"/>
    <mergeCell ref="DR18:DR19"/>
    <mergeCell ref="BO18:BO19"/>
    <mergeCell ref="BP18:BP19"/>
    <mergeCell ref="BQ18:BQ19"/>
    <mergeCell ref="BR18:BR19"/>
    <mergeCell ref="BS18:BS19"/>
    <mergeCell ref="BT18:BT19"/>
    <mergeCell ref="BU18:BU19"/>
    <mergeCell ref="BV18:BV19"/>
    <mergeCell ref="BW18:BW19"/>
    <mergeCell ref="BX18:BX19"/>
    <mergeCell ref="BY18:BY19"/>
    <mergeCell ref="BZ18:BZ19"/>
    <mergeCell ref="CA18:CA19"/>
    <mergeCell ref="CB18:CB19"/>
    <mergeCell ref="CC18:CC19"/>
    <mergeCell ref="CD18:CD19"/>
    <mergeCell ref="CE18:CE19"/>
    <mergeCell ref="CF18:CF19"/>
    <mergeCell ref="CG18:CG19"/>
    <mergeCell ref="CH18:CH19"/>
    <mergeCell ref="CI18:CI19"/>
    <mergeCell ref="CJ18:CJ19"/>
    <mergeCell ref="CK18:CK19"/>
    <mergeCell ref="CL18:CL19"/>
    <mergeCell ref="CM18:CM19"/>
    <mergeCell ref="CN18:CN19"/>
    <mergeCell ref="CO18:CO19"/>
    <mergeCell ref="CP18:CP19"/>
    <mergeCell ref="CQ18:CQ19"/>
    <mergeCell ref="CR18:CR19"/>
    <mergeCell ref="CS18:CS19"/>
    <mergeCell ref="CT18:CT19"/>
    <mergeCell ref="CU18:CU19"/>
    <mergeCell ref="CV18:CV19"/>
    <mergeCell ref="CW18:CW19"/>
    <mergeCell ref="CX18:CX19"/>
    <mergeCell ref="CY18:CY19"/>
    <mergeCell ref="CZ18:CZ19"/>
    <mergeCell ref="DA18:DA19"/>
    <mergeCell ref="DB18:DB19"/>
    <mergeCell ref="DC18:DC19"/>
    <mergeCell ref="DD18:DD19"/>
    <mergeCell ref="DE18:DE19"/>
    <mergeCell ref="DF18:DF19"/>
    <mergeCell ref="DG18:DG19"/>
    <mergeCell ref="DH18:DH19"/>
    <mergeCell ref="DI18:DI19"/>
    <mergeCell ref="DJ18:DJ19"/>
    <mergeCell ref="DK18:DK19"/>
    <mergeCell ref="FY18:FY19"/>
    <mergeCell ref="FZ18:FZ19"/>
    <mergeCell ref="FR18:FR19"/>
    <mergeCell ref="FS18:FS19"/>
    <mergeCell ref="FT18:FT19"/>
    <mergeCell ref="FU18:FU19"/>
    <mergeCell ref="FV18:FV19"/>
    <mergeCell ref="FW18:FW19"/>
    <mergeCell ref="FX18:FX19"/>
    <mergeCell ref="DU18:DU19"/>
    <mergeCell ref="DV18:DV19"/>
    <mergeCell ref="DW18:DW19"/>
    <mergeCell ref="DX18:DX19"/>
    <mergeCell ref="DY18:DY19"/>
    <mergeCell ref="DZ18:DZ19"/>
    <mergeCell ref="EA18:EA19"/>
    <mergeCell ref="EB18:EB19"/>
    <mergeCell ref="EC18:EC19"/>
    <mergeCell ref="ED18:ED19"/>
    <mergeCell ref="EE18:EE19"/>
    <mergeCell ref="EF18:EF19"/>
    <mergeCell ref="EG18:EG19"/>
    <mergeCell ref="EH18:EH19"/>
    <mergeCell ref="EI18:EI19"/>
    <mergeCell ref="EJ18:EJ19"/>
    <mergeCell ref="EK18:EK19"/>
    <mergeCell ref="EL18:EL19"/>
    <mergeCell ref="EM18:EM19"/>
    <mergeCell ref="EN18:EN19"/>
    <mergeCell ref="EO18:EO19"/>
    <mergeCell ref="EP18:EP19"/>
    <mergeCell ref="EQ18:EQ19"/>
    <mergeCell ref="ER18:ER19"/>
    <mergeCell ref="ES18:ES19"/>
    <mergeCell ref="ET18:ET19"/>
    <mergeCell ref="EU18:EU19"/>
    <mergeCell ref="EV18:EV19"/>
    <mergeCell ref="EW18:EW19"/>
    <mergeCell ref="EX18:EX19"/>
    <mergeCell ref="EY18:EY19"/>
    <mergeCell ref="EZ18:EZ19"/>
    <mergeCell ref="FA18:FA19"/>
    <mergeCell ref="FB18:FB19"/>
    <mergeCell ref="FC18:FC19"/>
    <mergeCell ref="FD18:FD19"/>
    <mergeCell ref="FE18:FE19"/>
    <mergeCell ref="FF18:FF19"/>
    <mergeCell ref="FG18:FG19"/>
    <mergeCell ref="FH18:FH19"/>
    <mergeCell ref="FI18:FI19"/>
    <mergeCell ref="FJ18:FJ19"/>
    <mergeCell ref="FK18:FK19"/>
    <mergeCell ref="FL18:FL19"/>
    <mergeCell ref="FM18:FM19"/>
    <mergeCell ref="FN18:FN19"/>
    <mergeCell ref="FO18:FO19"/>
    <mergeCell ref="FP18:FP19"/>
    <mergeCell ref="FQ18:FQ19"/>
    <mergeCell ref="D10:D11"/>
    <mergeCell ref="G10:G11"/>
    <mergeCell ref="S12:S13"/>
    <mergeCell ref="T12:T13"/>
    <mergeCell ref="U12:U13"/>
    <mergeCell ref="V12:V13"/>
    <mergeCell ref="I5:I6"/>
    <mergeCell ref="J5:Y5"/>
    <mergeCell ref="B6:D6"/>
    <mergeCell ref="B7:C7"/>
    <mergeCell ref="B8:B13"/>
    <mergeCell ref="D8:D9"/>
    <mergeCell ref="Y8:Y9"/>
    <mergeCell ref="Y12:Y13"/>
    <mergeCell ref="W12:W13"/>
    <mergeCell ref="X12:X13"/>
    <mergeCell ref="Z12:Z13"/>
    <mergeCell ref="AA12:AA13"/>
    <mergeCell ref="AB12:AB13"/>
    <mergeCell ref="AC12:AC13"/>
    <mergeCell ref="AD12:AD13"/>
    <mergeCell ref="AE12:AE13"/>
    <mergeCell ref="AF12:AF13"/>
    <mergeCell ref="AG12:AG13"/>
    <mergeCell ref="AH12:AH13"/>
    <mergeCell ref="AI12:AI13"/>
    <mergeCell ref="AJ12:AJ13"/>
    <mergeCell ref="AK12:AK13"/>
    <mergeCell ref="AL12:AL13"/>
    <mergeCell ref="AM12:AM13"/>
    <mergeCell ref="AN12:AN13"/>
    <mergeCell ref="AO12:AO13"/>
    <mergeCell ref="AP12:AP13"/>
    <mergeCell ref="AQ12:AQ13"/>
    <mergeCell ref="AR12:AR13"/>
    <mergeCell ref="V14:V15"/>
    <mergeCell ref="W14:W15"/>
    <mergeCell ref="X14:X15"/>
    <mergeCell ref="Y14:Y15"/>
    <mergeCell ref="Z14:Z15"/>
    <mergeCell ref="AA14:AA15"/>
    <mergeCell ref="AB14:AB15"/>
    <mergeCell ref="AC14:AC15"/>
    <mergeCell ref="AD14:AD15"/>
    <mergeCell ref="AE14:AE15"/>
    <mergeCell ref="AF14:AF15"/>
    <mergeCell ref="AG14:AG15"/>
    <mergeCell ref="AH14:AH15"/>
    <mergeCell ref="AI14:AI15"/>
    <mergeCell ref="AJ14:AJ15"/>
    <mergeCell ref="AK14:AK15"/>
    <mergeCell ref="AL14:AL15"/>
    <mergeCell ref="AM14:AM15"/>
    <mergeCell ref="AN14:AN15"/>
    <mergeCell ref="AO14:AO15"/>
    <mergeCell ref="AP14:AP15"/>
    <mergeCell ref="AQ14:AQ15"/>
    <mergeCell ref="AR14:AR15"/>
    <mergeCell ref="AS14:AS15"/>
    <mergeCell ref="AT14:AT15"/>
    <mergeCell ref="AU14:AU15"/>
    <mergeCell ref="AV14:AV15"/>
    <mergeCell ref="AW14:AW15"/>
    <mergeCell ref="AX14:AX15"/>
    <mergeCell ref="AY14:AY15"/>
    <mergeCell ref="AZ14:AZ15"/>
    <mergeCell ref="BA14:BA15"/>
    <mergeCell ref="BB14:BB15"/>
    <mergeCell ref="BC14:BC15"/>
    <mergeCell ref="BD14:BD15"/>
    <mergeCell ref="BE14:BE15"/>
    <mergeCell ref="BF14:BF15"/>
    <mergeCell ref="BG14:BG15"/>
    <mergeCell ref="BH14:BH15"/>
    <mergeCell ref="BI14:BI15"/>
    <mergeCell ref="BJ14:BJ15"/>
    <mergeCell ref="BK14:BK15"/>
    <mergeCell ref="BL14:BL15"/>
    <mergeCell ref="BM14:BM15"/>
    <mergeCell ref="BN14:BN15"/>
    <mergeCell ref="BO14:BO15"/>
    <mergeCell ref="BP14:BP15"/>
    <mergeCell ref="BQ14:BQ15"/>
    <mergeCell ref="BR14:BR15"/>
    <mergeCell ref="BS14:BS15"/>
    <mergeCell ref="BT14:BT15"/>
    <mergeCell ref="BU14:BU15"/>
    <mergeCell ref="BV14:BV15"/>
    <mergeCell ref="BW14:BW15"/>
    <mergeCell ref="BX14:BX15"/>
    <mergeCell ref="BY14:BY15"/>
    <mergeCell ref="BZ14:BZ15"/>
    <mergeCell ref="CA14:CA15"/>
    <mergeCell ref="CB14:CB15"/>
    <mergeCell ref="CC14:CC15"/>
    <mergeCell ref="CD14:CD15"/>
    <mergeCell ref="CE14:CE15"/>
    <mergeCell ref="CF14:CF15"/>
    <mergeCell ref="CG14:CG15"/>
    <mergeCell ref="CH14:CH15"/>
    <mergeCell ref="CI14:CI15"/>
    <mergeCell ref="CJ14:CJ15"/>
    <mergeCell ref="CK14:CK15"/>
    <mergeCell ref="CL14:CL15"/>
    <mergeCell ref="CM14:CM15"/>
    <mergeCell ref="CN14:CN15"/>
    <mergeCell ref="CO14:CO15"/>
    <mergeCell ref="CP14:CP15"/>
    <mergeCell ref="CQ14:CQ15"/>
    <mergeCell ref="CR14:CR15"/>
    <mergeCell ref="CS14:CS15"/>
    <mergeCell ref="CT14:CT15"/>
    <mergeCell ref="CU14:CU15"/>
    <mergeCell ref="CV14:CV15"/>
    <mergeCell ref="CW14:CW15"/>
    <mergeCell ref="CX14:CX15"/>
    <mergeCell ref="CY14:CY15"/>
    <mergeCell ref="CZ14:CZ15"/>
    <mergeCell ref="DA14:DA15"/>
    <mergeCell ref="DB14:DB15"/>
    <mergeCell ref="DC14:DC15"/>
    <mergeCell ref="DD14:DD15"/>
    <mergeCell ref="DE14:DE15"/>
    <mergeCell ref="DF14:DF15"/>
    <mergeCell ref="DG14:DG15"/>
    <mergeCell ref="DH14:DH15"/>
    <mergeCell ref="DI14:DI15"/>
    <mergeCell ref="DJ14:DJ15"/>
    <mergeCell ref="DK14:DK15"/>
    <mergeCell ref="DL14:DL15"/>
    <mergeCell ref="DM14:DM15"/>
    <mergeCell ref="DN14:DN15"/>
    <mergeCell ref="DO14:DO15"/>
    <mergeCell ref="R16:R17"/>
    <mergeCell ref="S16:S17"/>
    <mergeCell ref="T16:T17"/>
    <mergeCell ref="U16:U17"/>
    <mergeCell ref="V16:V17"/>
    <mergeCell ref="W16:W17"/>
    <mergeCell ref="X16:X17"/>
    <mergeCell ref="Y16:Y17"/>
    <mergeCell ref="Z16:Z17"/>
    <mergeCell ref="AA16:AA17"/>
    <mergeCell ref="AB16:AB17"/>
    <mergeCell ref="AC16:AC17"/>
    <mergeCell ref="AD16:AD17"/>
    <mergeCell ref="AE16:AE17"/>
    <mergeCell ref="AF16:AF17"/>
    <mergeCell ref="AG16:AG17"/>
    <mergeCell ref="AH16:AH17"/>
    <mergeCell ref="AI16:AI17"/>
    <mergeCell ref="AJ16:AJ17"/>
    <mergeCell ref="AK16:AK17"/>
    <mergeCell ref="AL16:AL17"/>
    <mergeCell ref="AM16:AM17"/>
    <mergeCell ref="AN16:AN17"/>
    <mergeCell ref="AO16:AO17"/>
    <mergeCell ref="AP16:AP17"/>
    <mergeCell ref="AQ16:AQ17"/>
    <mergeCell ref="AR16:AR17"/>
    <mergeCell ref="AS16:AS17"/>
    <mergeCell ref="AT16:AT17"/>
    <mergeCell ref="AU16:AU17"/>
    <mergeCell ref="AV16:AV17"/>
    <mergeCell ref="AW16:AW17"/>
    <mergeCell ref="AX16:AX17"/>
    <mergeCell ref="AY16:AY17"/>
    <mergeCell ref="AZ16:AZ17"/>
    <mergeCell ref="BA16:BA17"/>
    <mergeCell ref="BB16:BB17"/>
    <mergeCell ref="BC16:BC17"/>
    <mergeCell ref="BD16:BD17"/>
    <mergeCell ref="BE16:BE17"/>
    <mergeCell ref="BF16:BF17"/>
    <mergeCell ref="BG16:BG17"/>
    <mergeCell ref="BH16:BH17"/>
    <mergeCell ref="BI16:BI17"/>
    <mergeCell ref="BJ16:BJ17"/>
    <mergeCell ref="BK16:BK17"/>
    <mergeCell ref="BL16:BL17"/>
    <mergeCell ref="BM16:BM17"/>
    <mergeCell ref="BN16:BN17"/>
    <mergeCell ref="DW14:DW15"/>
    <mergeCell ref="DX14:DX15"/>
    <mergeCell ref="DY14:DY15"/>
    <mergeCell ref="DZ14:DZ15"/>
    <mergeCell ref="EA14:EA15"/>
    <mergeCell ref="EB14:EB15"/>
    <mergeCell ref="EC14:EC15"/>
    <mergeCell ref="ED14:ED15"/>
    <mergeCell ref="EE14:EE15"/>
    <mergeCell ref="EF14:EF15"/>
    <mergeCell ref="EG14:EG15"/>
    <mergeCell ref="EH14:EH15"/>
    <mergeCell ref="EI14:EI15"/>
    <mergeCell ref="EJ14:EJ15"/>
    <mergeCell ref="EK14:EK15"/>
    <mergeCell ref="EL14:EL15"/>
    <mergeCell ref="EM14:EM15"/>
    <mergeCell ref="EN14:EN15"/>
    <mergeCell ref="EO14:EO15"/>
    <mergeCell ref="EP14:EP15"/>
    <mergeCell ref="EQ14:EQ15"/>
    <mergeCell ref="ER14:ER15"/>
    <mergeCell ref="ES14:ES15"/>
    <mergeCell ref="ET14:ET15"/>
    <mergeCell ref="EU14:EU15"/>
    <mergeCell ref="EV14:EV15"/>
    <mergeCell ref="EW14:EW15"/>
    <mergeCell ref="EX14:EX15"/>
    <mergeCell ref="EY14:EY15"/>
    <mergeCell ref="EZ14:EZ15"/>
    <mergeCell ref="FA14:FA15"/>
    <mergeCell ref="FB14:FB15"/>
    <mergeCell ref="FC14:FC15"/>
    <mergeCell ref="FD14:FD15"/>
    <mergeCell ref="FE14:FE15"/>
    <mergeCell ref="FF14:FF15"/>
    <mergeCell ref="FG14:FG15"/>
    <mergeCell ref="FH14:FH15"/>
    <mergeCell ref="FI14:FI15"/>
    <mergeCell ref="FJ14:FJ15"/>
    <mergeCell ref="FK14:FK15"/>
    <mergeCell ref="FL14:FL15"/>
    <mergeCell ref="DP14:DP15"/>
    <mergeCell ref="DQ14:DQ15"/>
    <mergeCell ref="DR14:DR15"/>
    <mergeCell ref="DS14:DS15"/>
    <mergeCell ref="DT14:DT15"/>
    <mergeCell ref="DU14:DU15"/>
    <mergeCell ref="DV14:DV15"/>
    <mergeCell ref="GO16:GO17"/>
    <mergeCell ref="GP16:GP17"/>
    <mergeCell ref="GH16:GH17"/>
    <mergeCell ref="GI16:GI17"/>
    <mergeCell ref="GJ16:GJ17"/>
    <mergeCell ref="GK16:GK17"/>
    <mergeCell ref="GL16:GL17"/>
    <mergeCell ref="GM16:GM17"/>
    <mergeCell ref="GN16:GN17"/>
    <mergeCell ref="GA18:GA19"/>
    <mergeCell ref="GB18:GB19"/>
    <mergeCell ref="GC18:GC19"/>
    <mergeCell ref="GD18:GD19"/>
    <mergeCell ref="GE18:GE19"/>
    <mergeCell ref="GF18:GF19"/>
    <mergeCell ref="GG18:GG19"/>
    <mergeCell ref="GH18:GH19"/>
    <mergeCell ref="GI18:GI19"/>
    <mergeCell ref="GJ18:GJ19"/>
    <mergeCell ref="GK18:GK19"/>
    <mergeCell ref="GL18:GL19"/>
    <mergeCell ref="GM18:GM19"/>
    <mergeCell ref="GN18:GN19"/>
    <mergeCell ref="GV18:GV19"/>
    <mergeCell ref="GW18:GW19"/>
    <mergeCell ref="GX18:GX19"/>
    <mergeCell ref="GY18:GY19"/>
    <mergeCell ref="GZ18:GZ19"/>
    <mergeCell ref="GO18:GO19"/>
    <mergeCell ref="GP18:GP19"/>
    <mergeCell ref="GQ18:GQ19"/>
    <mergeCell ref="GR18:GR19"/>
    <mergeCell ref="GS18:GS19"/>
    <mergeCell ref="GT18:GT19"/>
    <mergeCell ref="GU18:GU19"/>
    <mergeCell ref="R18:R19"/>
    <mergeCell ref="S18:S19"/>
    <mergeCell ref="T18:T19"/>
    <mergeCell ref="U18:U19"/>
    <mergeCell ref="V18:V19"/>
    <mergeCell ref="W18:W19"/>
    <mergeCell ref="X18:X19"/>
    <mergeCell ref="Y18:Y19"/>
    <mergeCell ref="Z18:Z19"/>
    <mergeCell ref="AA18:AA19"/>
    <mergeCell ref="AB18:AB19"/>
    <mergeCell ref="AC18:AC19"/>
    <mergeCell ref="AD18:AD19"/>
    <mergeCell ref="AE18:AE19"/>
    <mergeCell ref="AF18:AF19"/>
    <mergeCell ref="AG18:AG19"/>
    <mergeCell ref="AH18:AH19"/>
    <mergeCell ref="AI18:AI19"/>
    <mergeCell ref="AJ18:AJ19"/>
    <mergeCell ref="AK18:AK19"/>
    <mergeCell ref="AL18:AL19"/>
    <mergeCell ref="AM18:AM19"/>
    <mergeCell ref="AN18:AN19"/>
    <mergeCell ref="AO18:AO19"/>
    <mergeCell ref="AP18:AP19"/>
    <mergeCell ref="AQ18:AQ19"/>
    <mergeCell ref="AR18:AR19"/>
    <mergeCell ref="AS18:AS19"/>
    <mergeCell ref="AT18:AT19"/>
    <mergeCell ref="AU18:AU19"/>
    <mergeCell ref="AV18:AV19"/>
    <mergeCell ref="AW18:AW19"/>
    <mergeCell ref="AX18:AX19"/>
    <mergeCell ref="AY18:AY19"/>
    <mergeCell ref="AZ18:AZ19"/>
    <mergeCell ref="BA18:BA19"/>
    <mergeCell ref="BB18:BB19"/>
    <mergeCell ref="BC18:BC19"/>
    <mergeCell ref="BD18:BD19"/>
    <mergeCell ref="BE18:BE19"/>
    <mergeCell ref="BF18:BF19"/>
    <mergeCell ref="BG18:BG19"/>
    <mergeCell ref="BH18:BH19"/>
    <mergeCell ref="BI18:BI19"/>
    <mergeCell ref="BJ18:BJ19"/>
    <mergeCell ref="BK18:BK19"/>
    <mergeCell ref="BL18:BL19"/>
    <mergeCell ref="BM18:BM19"/>
    <mergeCell ref="BN18:BN19"/>
    <mergeCell ref="W30:W31"/>
    <mergeCell ref="X30:X31"/>
    <mergeCell ref="P30:P31"/>
    <mergeCell ref="Q30:Q31"/>
    <mergeCell ref="R30:R31"/>
    <mergeCell ref="S30:S31"/>
    <mergeCell ref="T30:T31"/>
    <mergeCell ref="U30:U31"/>
    <mergeCell ref="V30:V31"/>
    <mergeCell ref="AF30:AF31"/>
    <mergeCell ref="AG30:AG31"/>
    <mergeCell ref="Y30:Y31"/>
    <mergeCell ref="Z30:Z31"/>
    <mergeCell ref="AA30:AA31"/>
    <mergeCell ref="AB30:AB31"/>
    <mergeCell ref="AC30:AC31"/>
    <mergeCell ref="AD30:AD31"/>
    <mergeCell ref="AE30:AE31"/>
    <mergeCell ref="AO30:AO31"/>
    <mergeCell ref="AP30:AP31"/>
    <mergeCell ref="AH30:AH31"/>
    <mergeCell ref="AI30:AI31"/>
    <mergeCell ref="AJ30:AJ31"/>
    <mergeCell ref="AK30:AK31"/>
    <mergeCell ref="AL30:AL31"/>
    <mergeCell ref="AM30:AM31"/>
    <mergeCell ref="AN30:AN31"/>
    <mergeCell ref="AX30:AX31"/>
    <mergeCell ref="AY30:AY31"/>
    <mergeCell ref="AQ30:AQ31"/>
    <mergeCell ref="AR30:AR31"/>
    <mergeCell ref="AS30:AS31"/>
    <mergeCell ref="AT30:AT31"/>
    <mergeCell ref="AU30:AU31"/>
    <mergeCell ref="AV30:AV31"/>
    <mergeCell ref="AW30:AW31"/>
    <mergeCell ref="K28:K29"/>
    <mergeCell ref="L28:L29"/>
    <mergeCell ref="M28:M29"/>
    <mergeCell ref="N28:N29"/>
    <mergeCell ref="O28:O29"/>
    <mergeCell ref="P28:P29"/>
    <mergeCell ref="Q28:Q29"/>
    <mergeCell ref="R28:R29"/>
    <mergeCell ref="S28:S29"/>
    <mergeCell ref="T28:T29"/>
    <mergeCell ref="U28:U29"/>
    <mergeCell ref="V28:V29"/>
    <mergeCell ref="W28:W29"/>
    <mergeCell ref="X28:X29"/>
    <mergeCell ref="AT28:AT29"/>
    <mergeCell ref="AU28:AU29"/>
    <mergeCell ref="AV28:AV29"/>
    <mergeCell ref="AW28:AW29"/>
    <mergeCell ref="AX28:AX29"/>
    <mergeCell ref="AY28:AY29"/>
    <mergeCell ref="AZ28:AZ29"/>
    <mergeCell ref="AZ30:AZ31"/>
    <mergeCell ref="C30:C31"/>
    <mergeCell ref="D30:D31"/>
    <mergeCell ref="K30:K31"/>
    <mergeCell ref="L30:L31"/>
    <mergeCell ref="M30:M31"/>
    <mergeCell ref="N30:N31"/>
    <mergeCell ref="O30:O31"/>
    <mergeCell ref="Y28:Y29"/>
    <mergeCell ref="Z28:Z29"/>
    <mergeCell ref="AA28:AA29"/>
    <mergeCell ref="AB28:AB29"/>
    <mergeCell ref="AC28:AC29"/>
    <mergeCell ref="AD28:AD29"/>
    <mergeCell ref="AE28:AE29"/>
    <mergeCell ref="AF28:AF29"/>
    <mergeCell ref="AG28:AG29"/>
    <mergeCell ref="AH28:AH29"/>
    <mergeCell ref="AI28:AI29"/>
    <mergeCell ref="AJ28:AJ29"/>
    <mergeCell ref="AK28:AK29"/>
    <mergeCell ref="AL28:AL29"/>
    <mergeCell ref="AM28:AM29"/>
    <mergeCell ref="AN28:AN29"/>
    <mergeCell ref="AO28:AO29"/>
    <mergeCell ref="AP28:AP29"/>
    <mergeCell ref="AQ28:AQ29"/>
    <mergeCell ref="AR28:AR29"/>
    <mergeCell ref="AS28:AS29"/>
    <mergeCell ref="DE30:DE31"/>
    <mergeCell ref="DF30:DF31"/>
    <mergeCell ref="CX30:CX31"/>
    <mergeCell ref="CY30:CY31"/>
    <mergeCell ref="CZ30:CZ31"/>
    <mergeCell ref="DA30:DA31"/>
    <mergeCell ref="DB30:DB31"/>
    <mergeCell ref="DC30:DC31"/>
    <mergeCell ref="DD30:DD31"/>
    <mergeCell ref="BA30:BA31"/>
    <mergeCell ref="BB30:BB31"/>
    <mergeCell ref="BC30:BC31"/>
    <mergeCell ref="BD30:BD31"/>
    <mergeCell ref="BE30:BE31"/>
    <mergeCell ref="BF30:BF31"/>
    <mergeCell ref="BG30:BG31"/>
    <mergeCell ref="BH30:BH31"/>
    <mergeCell ref="BI30:BI31"/>
    <mergeCell ref="BJ30:BJ31"/>
    <mergeCell ref="BK30:BK31"/>
    <mergeCell ref="BL30:BL31"/>
    <mergeCell ref="BM30:BM31"/>
    <mergeCell ref="BN30:BN31"/>
    <mergeCell ref="BO30:BO31"/>
    <mergeCell ref="BP30:BP31"/>
    <mergeCell ref="BQ30:BQ31"/>
    <mergeCell ref="BR30:BR31"/>
    <mergeCell ref="BS30:BS31"/>
    <mergeCell ref="BT30:BT31"/>
    <mergeCell ref="BU30:BU31"/>
    <mergeCell ref="BV30:BV31"/>
    <mergeCell ref="BW30:BW31"/>
    <mergeCell ref="BX30:BX31"/>
    <mergeCell ref="BY30:BY31"/>
    <mergeCell ref="BZ30:BZ31"/>
    <mergeCell ref="CA30:CA31"/>
    <mergeCell ref="CB30:CB31"/>
    <mergeCell ref="CC30:CC31"/>
    <mergeCell ref="CD30:CD31"/>
    <mergeCell ref="CE30:CE31"/>
    <mergeCell ref="CF30:CF31"/>
    <mergeCell ref="CG30:CG31"/>
    <mergeCell ref="CH30:CH31"/>
    <mergeCell ref="CI30:CI31"/>
    <mergeCell ref="CJ30:CJ31"/>
    <mergeCell ref="CK30:CK31"/>
    <mergeCell ref="CL30:CL31"/>
    <mergeCell ref="CM30:CM31"/>
    <mergeCell ref="CN30:CN31"/>
    <mergeCell ref="CO30:CO31"/>
    <mergeCell ref="CP30:CP31"/>
    <mergeCell ref="CQ30:CQ31"/>
    <mergeCell ref="CR30:CR31"/>
    <mergeCell ref="CS30:CS31"/>
    <mergeCell ref="CT30:CT31"/>
    <mergeCell ref="CU30:CU31"/>
    <mergeCell ref="CV30:CV31"/>
    <mergeCell ref="CW30:CW31"/>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outlineLevelCol="4"/>
  <cols>
    <col customWidth="1" min="1" max="1" width="2.75"/>
    <col customWidth="1" min="2" max="2" width="5.63"/>
    <col customWidth="1" min="3" max="3" width="4.63"/>
    <col customWidth="1" min="4" max="4" width="19.25"/>
    <col customWidth="1" min="5" max="5" width="5.13"/>
    <col customWidth="1" min="6" max="10" width="9.63"/>
    <col customWidth="1" min="11" max="15" width="10.63"/>
    <col customWidth="1" min="16" max="17" width="11.75"/>
    <col customWidth="1" min="18" max="18" width="12.75"/>
    <col customWidth="1" min="19" max="19" width="9.63"/>
    <col customWidth="1" min="20" max="21" width="2.75"/>
  </cols>
  <sheetData>
    <row r="1" ht="15.75" customHeight="1">
      <c r="A1" s="58"/>
      <c r="B1" s="58"/>
      <c r="C1" s="58"/>
      <c r="D1" s="58"/>
      <c r="E1" s="59"/>
      <c r="F1" s="59"/>
      <c r="G1" s="59"/>
      <c r="H1" s="59"/>
      <c r="I1" s="59"/>
      <c r="J1" s="59"/>
      <c r="K1" s="59"/>
      <c r="L1" s="59"/>
      <c r="M1" s="59"/>
      <c r="N1" s="59"/>
      <c r="O1" s="59"/>
      <c r="P1" s="59"/>
      <c r="Q1" s="59"/>
      <c r="R1" s="59"/>
      <c r="S1" s="64"/>
      <c r="T1" s="64"/>
      <c r="U1" s="64"/>
    </row>
    <row r="2" ht="15.75" customHeight="1">
      <c r="A2" s="58"/>
      <c r="B2" s="65" t="s">
        <v>21</v>
      </c>
      <c r="C2" s="63"/>
      <c r="D2" s="66"/>
      <c r="E2" s="67"/>
      <c r="F2" s="68" t="s">
        <v>22</v>
      </c>
      <c r="G2" s="63"/>
      <c r="H2" s="63"/>
      <c r="I2" s="66"/>
      <c r="J2" s="68" t="s">
        <v>23</v>
      </c>
      <c r="K2" s="63"/>
      <c r="L2" s="63"/>
      <c r="M2" s="66"/>
      <c r="N2" s="68" t="s">
        <v>24</v>
      </c>
      <c r="O2" s="63"/>
      <c r="P2" s="63"/>
      <c r="Q2" s="66"/>
      <c r="R2" s="69"/>
      <c r="S2" s="71"/>
      <c r="T2" s="64"/>
      <c r="U2" s="64"/>
    </row>
    <row r="3" ht="15.75" customHeight="1">
      <c r="A3" s="58"/>
      <c r="B3" s="72"/>
      <c r="C3" s="66"/>
      <c r="D3" s="75" t="s">
        <v>7</v>
      </c>
      <c r="E3" s="76"/>
      <c r="F3" s="79" t="s">
        <v>25</v>
      </c>
      <c r="G3" s="79" t="s">
        <v>6</v>
      </c>
      <c r="H3" s="79" t="s">
        <v>27</v>
      </c>
      <c r="I3" s="79" t="s">
        <v>28</v>
      </c>
      <c r="J3" s="79" t="s">
        <v>29</v>
      </c>
      <c r="K3" s="79" t="s">
        <v>30</v>
      </c>
      <c r="L3" s="79" t="s">
        <v>31</v>
      </c>
      <c r="M3" s="79" t="s">
        <v>32</v>
      </c>
      <c r="N3" s="79" t="s">
        <v>33</v>
      </c>
      <c r="O3" s="79" t="s">
        <v>34</v>
      </c>
      <c r="P3" s="79" t="s">
        <v>35</v>
      </c>
      <c r="Q3" s="79" t="s">
        <v>36</v>
      </c>
      <c r="R3" s="79" t="s">
        <v>37</v>
      </c>
      <c r="S3" s="85" t="s">
        <v>38</v>
      </c>
      <c r="T3" s="58"/>
      <c r="U3" s="58"/>
    </row>
    <row r="4" ht="15.75" customHeight="1">
      <c r="A4" s="64"/>
      <c r="B4" s="88" t="s">
        <v>17</v>
      </c>
      <c r="C4" s="89">
        <v>1.0</v>
      </c>
      <c r="D4" s="92" t="s">
        <v>18</v>
      </c>
      <c r="E4" s="94" t="s">
        <v>19</v>
      </c>
      <c r="F4" s="95">
        <v>21000.0</v>
      </c>
      <c r="G4" s="95">
        <v>21000.0</v>
      </c>
      <c r="H4" s="95">
        <v>21000.0</v>
      </c>
      <c r="I4" s="95">
        <v>21000.0</v>
      </c>
      <c r="J4" s="95">
        <v>21000.0</v>
      </c>
      <c r="K4" s="95">
        <v>21000.0</v>
      </c>
      <c r="L4" s="95">
        <v>21000.0</v>
      </c>
      <c r="M4" s="95">
        <v>21000.0</v>
      </c>
      <c r="N4" s="95">
        <v>21000.0</v>
      </c>
      <c r="O4" s="95">
        <v>21000.0</v>
      </c>
      <c r="P4" s="95">
        <v>21000.0</v>
      </c>
      <c r="Q4" s="95">
        <v>21000.0</v>
      </c>
      <c r="R4" s="98">
        <f t="shared" ref="R4:R29" si="1">SUM(F4:Q4)</f>
        <v>252000</v>
      </c>
      <c r="S4" s="100">
        <f>IFERROR(R5/R4,"")</f>
        <v>0.9634920635</v>
      </c>
      <c r="T4" s="101"/>
      <c r="U4" s="101"/>
    </row>
    <row r="5" ht="15.75" customHeight="1">
      <c r="A5" s="64"/>
      <c r="B5" s="82"/>
      <c r="C5" s="78"/>
      <c r="D5" s="78"/>
      <c r="E5" s="94" t="s">
        <v>26</v>
      </c>
      <c r="F5" s="103">
        <v>20000.0</v>
      </c>
      <c r="G5" s="103">
        <v>20500.0</v>
      </c>
      <c r="H5" s="103">
        <v>19000.0</v>
      </c>
      <c r="I5" s="103">
        <v>19500.0</v>
      </c>
      <c r="J5" s="103">
        <v>18500.0</v>
      </c>
      <c r="K5" s="103">
        <v>20000.0</v>
      </c>
      <c r="L5" s="103">
        <v>21000.0</v>
      </c>
      <c r="M5" s="103">
        <v>17500.0</v>
      </c>
      <c r="N5" s="103">
        <v>20800.0</v>
      </c>
      <c r="O5" s="103">
        <v>21500.0</v>
      </c>
      <c r="P5" s="103">
        <v>22000.0</v>
      </c>
      <c r="Q5" s="103">
        <v>22500.0</v>
      </c>
      <c r="R5" s="98">
        <f t="shared" si="1"/>
        <v>242800</v>
      </c>
      <c r="S5" s="78"/>
      <c r="T5" s="101"/>
      <c r="U5" s="101"/>
    </row>
    <row r="6" ht="15.75" customHeight="1">
      <c r="A6" s="64"/>
      <c r="B6" s="82"/>
      <c r="C6" s="89">
        <v>2.0</v>
      </c>
      <c r="D6" s="111" t="s">
        <v>40</v>
      </c>
      <c r="E6" s="94" t="s">
        <v>19</v>
      </c>
      <c r="F6" s="95">
        <v>4200.0</v>
      </c>
      <c r="G6" s="95">
        <v>4200.0</v>
      </c>
      <c r="H6" s="95">
        <v>4200.0</v>
      </c>
      <c r="I6" s="95">
        <v>4200.0</v>
      </c>
      <c r="J6" s="95">
        <v>4200.0</v>
      </c>
      <c r="K6" s="95">
        <v>4200.0</v>
      </c>
      <c r="L6" s="95">
        <v>4200.0</v>
      </c>
      <c r="M6" s="95">
        <v>4200.0</v>
      </c>
      <c r="N6" s="95">
        <v>4200.0</v>
      </c>
      <c r="O6" s="95">
        <v>4200.0</v>
      </c>
      <c r="P6" s="95">
        <v>4200.0</v>
      </c>
      <c r="Q6" s="95">
        <v>4200.0</v>
      </c>
      <c r="R6" s="98">
        <f t="shared" si="1"/>
        <v>50400</v>
      </c>
      <c r="S6" s="100">
        <f>IFERROR(R7/R6,"")</f>
        <v>0.9742063492</v>
      </c>
      <c r="T6" s="101"/>
      <c r="U6" s="101"/>
    </row>
    <row r="7" ht="15.75" customHeight="1">
      <c r="A7" s="64"/>
      <c r="B7" s="82"/>
      <c r="C7" s="78"/>
      <c r="E7" s="94" t="s">
        <v>26</v>
      </c>
      <c r="F7" s="103">
        <v>4000.0</v>
      </c>
      <c r="G7" s="103">
        <v>4100.0</v>
      </c>
      <c r="H7" s="103">
        <v>4200.0</v>
      </c>
      <c r="I7" s="103">
        <v>4500.0</v>
      </c>
      <c r="J7" s="103">
        <v>4400.0</v>
      </c>
      <c r="K7" s="103">
        <v>4600.0</v>
      </c>
      <c r="L7" s="103">
        <v>4800.0</v>
      </c>
      <c r="M7" s="103">
        <v>3800.0</v>
      </c>
      <c r="N7" s="103">
        <v>3500.0</v>
      </c>
      <c r="O7" s="103">
        <v>3600.0</v>
      </c>
      <c r="P7" s="103">
        <v>3700.0</v>
      </c>
      <c r="Q7" s="103">
        <v>3900.0</v>
      </c>
      <c r="R7" s="98">
        <f t="shared" si="1"/>
        <v>49100</v>
      </c>
      <c r="S7" s="78"/>
      <c r="T7" s="101"/>
      <c r="U7" s="101"/>
    </row>
    <row r="8" ht="15.75" customHeight="1">
      <c r="A8" s="64"/>
      <c r="B8" s="82"/>
      <c r="C8" s="89">
        <v>3.0</v>
      </c>
      <c r="D8" s="92" t="s">
        <v>42</v>
      </c>
      <c r="E8" s="94" t="s">
        <v>19</v>
      </c>
      <c r="F8" s="95">
        <v>840.0</v>
      </c>
      <c r="G8" s="95">
        <v>840.0</v>
      </c>
      <c r="H8" s="95">
        <v>840.0</v>
      </c>
      <c r="I8" s="95">
        <v>840.0</v>
      </c>
      <c r="J8" s="95">
        <v>840.0</v>
      </c>
      <c r="K8" s="95">
        <v>840.0</v>
      </c>
      <c r="L8" s="95">
        <v>840.0</v>
      </c>
      <c r="M8" s="95">
        <v>840.0</v>
      </c>
      <c r="N8" s="95">
        <v>840.0</v>
      </c>
      <c r="O8" s="95">
        <v>840.0</v>
      </c>
      <c r="P8" s="95">
        <v>840.0</v>
      </c>
      <c r="Q8" s="95">
        <v>840.0</v>
      </c>
      <c r="R8" s="98">
        <f t="shared" si="1"/>
        <v>10080</v>
      </c>
      <c r="S8" s="100">
        <f>IFERROR(R9/R8,"")</f>
        <v>0.9761904762</v>
      </c>
      <c r="T8" s="101"/>
      <c r="U8" s="101"/>
    </row>
    <row r="9" ht="15.75" customHeight="1">
      <c r="A9" s="64"/>
      <c r="B9" s="78"/>
      <c r="C9" s="78"/>
      <c r="D9" s="78"/>
      <c r="E9" s="94" t="s">
        <v>26</v>
      </c>
      <c r="F9" s="103">
        <v>780.0</v>
      </c>
      <c r="G9" s="103">
        <v>790.0</v>
      </c>
      <c r="H9" s="103">
        <v>800.0</v>
      </c>
      <c r="I9" s="103">
        <v>810.0</v>
      </c>
      <c r="J9" s="103">
        <v>815.0</v>
      </c>
      <c r="K9" s="103">
        <v>820.0</v>
      </c>
      <c r="L9" s="103">
        <v>825.0</v>
      </c>
      <c r="M9" s="103">
        <v>830.0</v>
      </c>
      <c r="N9" s="103">
        <v>835.0</v>
      </c>
      <c r="O9" s="103">
        <v>840.0</v>
      </c>
      <c r="P9" s="103">
        <v>845.0</v>
      </c>
      <c r="Q9" s="103">
        <v>850.0</v>
      </c>
      <c r="R9" s="98">
        <f t="shared" si="1"/>
        <v>9840</v>
      </c>
      <c r="S9" s="78"/>
      <c r="T9" s="101"/>
      <c r="U9" s="101"/>
    </row>
    <row r="10" ht="15.75" customHeight="1">
      <c r="A10" s="64"/>
      <c r="B10" s="88" t="s">
        <v>44</v>
      </c>
      <c r="C10" s="89">
        <v>1.0</v>
      </c>
      <c r="D10" s="92" t="s">
        <v>46</v>
      </c>
      <c r="E10" s="94" t="s">
        <v>19</v>
      </c>
      <c r="F10" s="95">
        <v>600.0</v>
      </c>
      <c r="G10" s="95">
        <v>600.0</v>
      </c>
      <c r="H10" s="95">
        <v>600.0</v>
      </c>
      <c r="I10" s="95">
        <v>600.0</v>
      </c>
      <c r="J10" s="95">
        <v>600.0</v>
      </c>
      <c r="K10" s="95">
        <v>600.0</v>
      </c>
      <c r="L10" s="95">
        <v>600.0</v>
      </c>
      <c r="M10" s="95">
        <v>600.0</v>
      </c>
      <c r="N10" s="95">
        <v>600.0</v>
      </c>
      <c r="O10" s="95">
        <v>600.0</v>
      </c>
      <c r="P10" s="95">
        <v>600.0</v>
      </c>
      <c r="Q10" s="95">
        <v>600.0</v>
      </c>
      <c r="R10" s="98">
        <f t="shared" si="1"/>
        <v>7200</v>
      </c>
      <c r="S10" s="100">
        <f>IFERROR(R11/R10,"")</f>
        <v>0.8145833333</v>
      </c>
      <c r="T10" s="101"/>
      <c r="U10" s="101"/>
    </row>
    <row r="11" ht="15.75" customHeight="1">
      <c r="A11" s="64"/>
      <c r="B11" s="82"/>
      <c r="C11" s="78"/>
      <c r="D11" s="78"/>
      <c r="E11" s="94" t="s">
        <v>26</v>
      </c>
      <c r="F11" s="103">
        <v>490.0</v>
      </c>
      <c r="G11" s="103">
        <v>480.0</v>
      </c>
      <c r="H11" s="103">
        <v>470.0</v>
      </c>
      <c r="I11" s="103">
        <v>455.0</v>
      </c>
      <c r="J11" s="103">
        <v>485.0</v>
      </c>
      <c r="K11" s="103">
        <v>475.0</v>
      </c>
      <c r="L11" s="103">
        <v>480.0</v>
      </c>
      <c r="M11" s="103">
        <v>495.0</v>
      </c>
      <c r="N11" s="103">
        <v>490.0</v>
      </c>
      <c r="O11" s="103">
        <v>500.0</v>
      </c>
      <c r="P11" s="103">
        <v>505.0</v>
      </c>
      <c r="Q11" s="103">
        <v>540.0</v>
      </c>
      <c r="R11" s="98">
        <f t="shared" si="1"/>
        <v>5865</v>
      </c>
      <c r="S11" s="78"/>
      <c r="T11" s="101"/>
      <c r="U11" s="101"/>
    </row>
    <row r="12" ht="15.75" customHeight="1">
      <c r="A12" s="64"/>
      <c r="B12" s="82"/>
      <c r="C12" s="89">
        <v>2.0</v>
      </c>
      <c r="D12" s="92" t="s">
        <v>52</v>
      </c>
      <c r="E12" s="94" t="s">
        <v>19</v>
      </c>
      <c r="F12" s="95">
        <v>420.0</v>
      </c>
      <c r="G12" s="95">
        <v>420.0</v>
      </c>
      <c r="H12" s="95">
        <v>420.0</v>
      </c>
      <c r="I12" s="95">
        <v>420.0</v>
      </c>
      <c r="J12" s="95">
        <v>420.0</v>
      </c>
      <c r="K12" s="95">
        <v>420.0</v>
      </c>
      <c r="L12" s="95">
        <v>420.0</v>
      </c>
      <c r="M12" s="95">
        <v>420.0</v>
      </c>
      <c r="N12" s="95">
        <v>420.0</v>
      </c>
      <c r="O12" s="95">
        <v>420.0</v>
      </c>
      <c r="P12" s="95">
        <v>420.0</v>
      </c>
      <c r="Q12" s="95">
        <v>420.0</v>
      </c>
      <c r="R12" s="98">
        <f t="shared" si="1"/>
        <v>5040</v>
      </c>
      <c r="S12" s="100">
        <f>IFERROR(R13/R12,"")</f>
        <v>0.9325396825</v>
      </c>
      <c r="T12" s="101"/>
      <c r="U12" s="101"/>
    </row>
    <row r="13" ht="15.75" customHeight="1">
      <c r="A13" s="64"/>
      <c r="B13" s="82"/>
      <c r="C13" s="78"/>
      <c r="D13" s="78"/>
      <c r="E13" s="94" t="s">
        <v>26</v>
      </c>
      <c r="F13" s="103">
        <v>350.0</v>
      </c>
      <c r="G13" s="103">
        <v>370.0</v>
      </c>
      <c r="H13" s="103">
        <v>380.0</v>
      </c>
      <c r="I13" s="103">
        <v>400.0</v>
      </c>
      <c r="J13" s="103">
        <v>405.0</v>
      </c>
      <c r="K13" s="103">
        <v>395.0</v>
      </c>
      <c r="L13" s="103">
        <v>420.0</v>
      </c>
      <c r="M13" s="103">
        <v>410.0</v>
      </c>
      <c r="N13" s="103">
        <v>430.0</v>
      </c>
      <c r="O13" s="103">
        <v>400.0</v>
      </c>
      <c r="P13" s="103">
        <v>350.0</v>
      </c>
      <c r="Q13" s="103">
        <v>390.0</v>
      </c>
      <c r="R13" s="98">
        <f t="shared" si="1"/>
        <v>4700</v>
      </c>
      <c r="S13" s="78"/>
      <c r="T13" s="101"/>
      <c r="U13" s="101"/>
    </row>
    <row r="14" ht="15.75" customHeight="1">
      <c r="A14" s="64"/>
      <c r="B14" s="82"/>
      <c r="C14" s="89">
        <v>3.0</v>
      </c>
      <c r="D14" s="92" t="s">
        <v>53</v>
      </c>
      <c r="E14" s="94" t="s">
        <v>19</v>
      </c>
      <c r="F14" s="95">
        <v>168.0</v>
      </c>
      <c r="G14" s="95">
        <v>168.0</v>
      </c>
      <c r="H14" s="95">
        <v>168.0</v>
      </c>
      <c r="I14" s="95">
        <v>168.0</v>
      </c>
      <c r="J14" s="95">
        <v>168.0</v>
      </c>
      <c r="K14" s="95">
        <v>168.0</v>
      </c>
      <c r="L14" s="95">
        <v>168.0</v>
      </c>
      <c r="M14" s="95">
        <v>168.0</v>
      </c>
      <c r="N14" s="95">
        <v>168.0</v>
      </c>
      <c r="O14" s="95">
        <v>168.0</v>
      </c>
      <c r="P14" s="95">
        <v>168.0</v>
      </c>
      <c r="Q14" s="95">
        <v>168.0</v>
      </c>
      <c r="R14" s="98">
        <f t="shared" si="1"/>
        <v>2016</v>
      </c>
      <c r="S14" s="100">
        <f>IFERROR(R15/R14,"")</f>
        <v>0.9047619048</v>
      </c>
      <c r="T14" s="101"/>
      <c r="U14" s="101"/>
    </row>
    <row r="15" ht="15.75" customHeight="1">
      <c r="A15" s="64"/>
      <c r="B15" s="78"/>
      <c r="C15" s="78"/>
      <c r="D15" s="78"/>
      <c r="E15" s="94" t="s">
        <v>26</v>
      </c>
      <c r="F15" s="103">
        <v>150.0</v>
      </c>
      <c r="G15" s="103">
        <v>155.0</v>
      </c>
      <c r="H15" s="103">
        <v>145.0</v>
      </c>
      <c r="I15" s="103">
        <v>165.0</v>
      </c>
      <c r="J15" s="103">
        <v>130.0</v>
      </c>
      <c r="K15" s="103">
        <v>145.0</v>
      </c>
      <c r="L15" s="103">
        <v>148.0</v>
      </c>
      <c r="M15" s="103">
        <v>135.0</v>
      </c>
      <c r="N15" s="103">
        <v>140.0</v>
      </c>
      <c r="O15" s="103">
        <v>166.0</v>
      </c>
      <c r="P15" s="103">
        <v>170.0</v>
      </c>
      <c r="Q15" s="103">
        <v>175.0</v>
      </c>
      <c r="R15" s="98">
        <f t="shared" si="1"/>
        <v>1824</v>
      </c>
      <c r="S15" s="78"/>
      <c r="T15" s="101"/>
      <c r="U15" s="101"/>
    </row>
    <row r="16" ht="15.75" customHeight="1">
      <c r="A16" s="64"/>
      <c r="B16" s="88" t="s">
        <v>54</v>
      </c>
      <c r="C16" s="89">
        <v>1.0</v>
      </c>
      <c r="D16" s="92" t="s">
        <v>55</v>
      </c>
      <c r="E16" s="94" t="s">
        <v>19</v>
      </c>
      <c r="F16" s="95">
        <v>504.0</v>
      </c>
      <c r="G16" s="95">
        <v>504.0</v>
      </c>
      <c r="H16" s="95">
        <v>504.0</v>
      </c>
      <c r="I16" s="95">
        <v>504.0</v>
      </c>
      <c r="J16" s="95">
        <v>504.0</v>
      </c>
      <c r="K16" s="95">
        <v>504.0</v>
      </c>
      <c r="L16" s="95">
        <v>504.0</v>
      </c>
      <c r="M16" s="95">
        <v>504.0</v>
      </c>
      <c r="N16" s="95">
        <v>504.0</v>
      </c>
      <c r="O16" s="95">
        <v>504.0</v>
      </c>
      <c r="P16" s="95">
        <v>504.0</v>
      </c>
      <c r="Q16" s="95">
        <v>504.0</v>
      </c>
      <c r="R16" s="98">
        <f t="shared" si="1"/>
        <v>6048</v>
      </c>
      <c r="S16" s="100">
        <f>IFERROR(R17/R16,"")</f>
        <v>0.9540343915</v>
      </c>
      <c r="T16" s="101"/>
      <c r="U16" s="101"/>
    </row>
    <row r="17" ht="15.75" customHeight="1">
      <c r="A17" s="64"/>
      <c r="B17" s="82"/>
      <c r="C17" s="78"/>
      <c r="D17" s="78"/>
      <c r="E17" s="94" t="s">
        <v>26</v>
      </c>
      <c r="F17" s="103">
        <v>450.0</v>
      </c>
      <c r="G17" s="103">
        <v>460.0</v>
      </c>
      <c r="H17" s="103">
        <v>450.0</v>
      </c>
      <c r="I17" s="103">
        <v>455.0</v>
      </c>
      <c r="J17" s="103">
        <v>475.0</v>
      </c>
      <c r="K17" s="103">
        <v>480.0</v>
      </c>
      <c r="L17" s="103">
        <v>485.0</v>
      </c>
      <c r="M17" s="103">
        <v>490.0</v>
      </c>
      <c r="N17" s="103">
        <v>495.0</v>
      </c>
      <c r="O17" s="103">
        <v>500.0</v>
      </c>
      <c r="P17" s="103">
        <v>510.0</v>
      </c>
      <c r="Q17" s="103">
        <v>520.0</v>
      </c>
      <c r="R17" s="98">
        <f t="shared" si="1"/>
        <v>5770</v>
      </c>
      <c r="S17" s="78"/>
      <c r="T17" s="101"/>
      <c r="U17" s="101"/>
    </row>
    <row r="18" ht="15.75" customHeight="1">
      <c r="A18" s="64"/>
      <c r="B18" s="82"/>
      <c r="C18" s="89">
        <v>2.0</v>
      </c>
      <c r="D18" s="146" t="s">
        <v>60</v>
      </c>
      <c r="E18" s="94" t="s">
        <v>19</v>
      </c>
      <c r="F18" s="95">
        <v>336.0</v>
      </c>
      <c r="G18" s="95">
        <v>336.0</v>
      </c>
      <c r="H18" s="95">
        <v>336.0</v>
      </c>
      <c r="I18" s="95">
        <v>336.0</v>
      </c>
      <c r="J18" s="95">
        <v>336.0</v>
      </c>
      <c r="K18" s="95">
        <v>336.0</v>
      </c>
      <c r="L18" s="95">
        <v>336.0</v>
      </c>
      <c r="M18" s="95">
        <v>336.0</v>
      </c>
      <c r="N18" s="95">
        <v>336.0</v>
      </c>
      <c r="O18" s="95">
        <v>336.0</v>
      </c>
      <c r="P18" s="95">
        <v>336.0</v>
      </c>
      <c r="Q18" s="95">
        <v>336.0</v>
      </c>
      <c r="R18" s="98">
        <f t="shared" si="1"/>
        <v>4032</v>
      </c>
      <c r="S18" s="100">
        <f>IFERROR(R19/R18,"")</f>
        <v>0.9722222222</v>
      </c>
      <c r="T18" s="101"/>
      <c r="U18" s="101"/>
    </row>
    <row r="19" ht="15.75" customHeight="1">
      <c r="A19" s="64"/>
      <c r="B19" s="82"/>
      <c r="C19" s="78"/>
      <c r="D19" s="78"/>
      <c r="E19" s="94" t="s">
        <v>26</v>
      </c>
      <c r="F19" s="103">
        <v>330.0</v>
      </c>
      <c r="G19" s="103">
        <v>320.0</v>
      </c>
      <c r="H19" s="103">
        <v>325.0</v>
      </c>
      <c r="I19" s="103">
        <v>310.0</v>
      </c>
      <c r="J19" s="103">
        <v>315.0</v>
      </c>
      <c r="K19" s="103">
        <v>330.0</v>
      </c>
      <c r="L19" s="103">
        <v>340.0</v>
      </c>
      <c r="M19" s="103">
        <v>350.0</v>
      </c>
      <c r="N19" s="103">
        <v>300.0</v>
      </c>
      <c r="O19" s="103">
        <v>320.0</v>
      </c>
      <c r="P19" s="103">
        <v>350.0</v>
      </c>
      <c r="Q19" s="103">
        <v>330.0</v>
      </c>
      <c r="R19" s="98">
        <f t="shared" si="1"/>
        <v>3920</v>
      </c>
      <c r="S19" s="78"/>
      <c r="T19" s="101"/>
      <c r="U19" s="101"/>
    </row>
    <row r="20" ht="15.75" customHeight="1">
      <c r="A20" s="64"/>
      <c r="B20" s="82"/>
      <c r="C20" s="89">
        <v>3.0</v>
      </c>
      <c r="D20" s="92" t="s">
        <v>74</v>
      </c>
      <c r="E20" s="94" t="s">
        <v>19</v>
      </c>
      <c r="F20" s="95">
        <v>168.0</v>
      </c>
      <c r="G20" s="95">
        <v>168.0</v>
      </c>
      <c r="H20" s="95">
        <v>168.0</v>
      </c>
      <c r="I20" s="95">
        <v>168.0</v>
      </c>
      <c r="J20" s="95">
        <v>168.0</v>
      </c>
      <c r="K20" s="95">
        <v>168.0</v>
      </c>
      <c r="L20" s="95">
        <v>168.0</v>
      </c>
      <c r="M20" s="95">
        <v>168.0</v>
      </c>
      <c r="N20" s="95">
        <v>168.0</v>
      </c>
      <c r="O20" s="95">
        <v>168.0</v>
      </c>
      <c r="P20" s="95">
        <v>168.0</v>
      </c>
      <c r="Q20" s="95">
        <v>168.0</v>
      </c>
      <c r="R20" s="98">
        <f t="shared" si="1"/>
        <v>2016</v>
      </c>
      <c r="S20" s="100">
        <f>IFERROR(R21/R20,"")</f>
        <v>0.8913690476</v>
      </c>
      <c r="T20" s="101"/>
      <c r="U20" s="101"/>
    </row>
    <row r="21" ht="15.75" customHeight="1">
      <c r="A21" s="64"/>
      <c r="B21" s="82"/>
      <c r="C21" s="78"/>
      <c r="D21" s="78"/>
      <c r="E21" s="94" t="s">
        <v>26</v>
      </c>
      <c r="F21" s="103">
        <v>155.0</v>
      </c>
      <c r="G21" s="103">
        <v>160.0</v>
      </c>
      <c r="H21" s="103">
        <v>165.0</v>
      </c>
      <c r="I21" s="103">
        <v>64.0</v>
      </c>
      <c r="J21" s="103">
        <v>156.0</v>
      </c>
      <c r="K21" s="103">
        <v>150.0</v>
      </c>
      <c r="L21" s="103">
        <v>145.0</v>
      </c>
      <c r="M21" s="103">
        <v>158.0</v>
      </c>
      <c r="N21" s="103">
        <v>152.0</v>
      </c>
      <c r="O21" s="103">
        <v>162.0</v>
      </c>
      <c r="P21" s="103">
        <v>164.0</v>
      </c>
      <c r="Q21" s="103">
        <v>166.0</v>
      </c>
      <c r="R21" s="98">
        <f t="shared" si="1"/>
        <v>1797</v>
      </c>
      <c r="S21" s="78"/>
      <c r="T21" s="101"/>
      <c r="U21" s="101"/>
    </row>
    <row r="22" ht="15.75" customHeight="1">
      <c r="A22" s="64"/>
      <c r="B22" s="82"/>
      <c r="C22" s="89">
        <v>4.0</v>
      </c>
      <c r="D22" s="146" t="s">
        <v>88</v>
      </c>
      <c r="E22" s="94" t="s">
        <v>19</v>
      </c>
      <c r="F22" s="95">
        <v>600.0</v>
      </c>
      <c r="G22" s="95">
        <v>600.0</v>
      </c>
      <c r="H22" s="95">
        <v>600.0</v>
      </c>
      <c r="I22" s="95">
        <v>600.0</v>
      </c>
      <c r="J22" s="95">
        <v>600.0</v>
      </c>
      <c r="K22" s="95">
        <v>600.0</v>
      </c>
      <c r="L22" s="95">
        <v>600.0</v>
      </c>
      <c r="M22" s="95">
        <v>600.0</v>
      </c>
      <c r="N22" s="95">
        <v>600.0</v>
      </c>
      <c r="O22" s="95">
        <v>600.0</v>
      </c>
      <c r="P22" s="95">
        <v>600.0</v>
      </c>
      <c r="Q22" s="95">
        <v>600.0</v>
      </c>
      <c r="R22" s="98">
        <f t="shared" si="1"/>
        <v>7200</v>
      </c>
      <c r="S22" s="100">
        <f>IFERROR(R23/R22,"")</f>
        <v>0.9066666667</v>
      </c>
      <c r="T22" s="101"/>
      <c r="U22" s="101"/>
    </row>
    <row r="23" ht="15.75" customHeight="1">
      <c r="A23" s="64"/>
      <c r="B23" s="78"/>
      <c r="C23" s="78"/>
      <c r="D23" s="78"/>
      <c r="E23" s="94" t="s">
        <v>26</v>
      </c>
      <c r="F23" s="103">
        <v>545.0</v>
      </c>
      <c r="G23" s="103">
        <v>56.0</v>
      </c>
      <c r="H23" s="103">
        <v>575.0</v>
      </c>
      <c r="I23" s="103">
        <v>582.0</v>
      </c>
      <c r="J23" s="103">
        <v>590.0</v>
      </c>
      <c r="K23" s="103">
        <v>605.0</v>
      </c>
      <c r="L23" s="103">
        <v>600.0</v>
      </c>
      <c r="M23" s="103">
        <v>610.0</v>
      </c>
      <c r="N23" s="103">
        <v>625.0</v>
      </c>
      <c r="O23" s="103">
        <v>550.0</v>
      </c>
      <c r="P23" s="103">
        <v>570.0</v>
      </c>
      <c r="Q23" s="103">
        <v>620.0</v>
      </c>
      <c r="R23" s="98">
        <f t="shared" si="1"/>
        <v>6528</v>
      </c>
      <c r="S23" s="78"/>
      <c r="T23" s="101"/>
      <c r="U23" s="101"/>
    </row>
    <row r="24" ht="15.75" customHeight="1">
      <c r="A24" s="58"/>
      <c r="B24" s="165" t="s">
        <v>101</v>
      </c>
      <c r="C24" s="166">
        <v>1.0</v>
      </c>
      <c r="D24" s="92" t="s">
        <v>109</v>
      </c>
      <c r="E24" s="94" t="s">
        <v>19</v>
      </c>
      <c r="F24" s="167">
        <v>8.4E7</v>
      </c>
      <c r="G24" s="167">
        <v>8.4E7</v>
      </c>
      <c r="H24" s="167">
        <v>8.4E7</v>
      </c>
      <c r="I24" s="167">
        <v>8.4E7</v>
      </c>
      <c r="J24" s="167">
        <v>8.4E7</v>
      </c>
      <c r="K24" s="167">
        <v>8.4E7</v>
      </c>
      <c r="L24" s="167">
        <v>8.4E7</v>
      </c>
      <c r="M24" s="167">
        <v>8.4E7</v>
      </c>
      <c r="N24" s="167">
        <v>8.4E7</v>
      </c>
      <c r="O24" s="167">
        <v>8.4E7</v>
      </c>
      <c r="P24" s="167">
        <v>8.4E7</v>
      </c>
      <c r="Q24" s="167">
        <v>8.4E7</v>
      </c>
      <c r="R24" s="168">
        <f t="shared" si="1"/>
        <v>1008000000</v>
      </c>
      <c r="S24" s="100">
        <f>IFERROR(R25/R24,"")</f>
        <v>0.9662698413</v>
      </c>
      <c r="T24" s="101"/>
      <c r="U24" s="101"/>
    </row>
    <row r="25" ht="15.75" customHeight="1">
      <c r="A25" s="58"/>
      <c r="B25" s="82"/>
      <c r="C25" s="78"/>
      <c r="D25" s="78"/>
      <c r="E25" s="94" t="s">
        <v>26</v>
      </c>
      <c r="F25" s="169">
        <v>8.0E7</v>
      </c>
      <c r="G25" s="169">
        <v>8.1E7</v>
      </c>
      <c r="H25" s="169">
        <v>8.3E7</v>
      </c>
      <c r="I25" s="169">
        <v>8.4E7</v>
      </c>
      <c r="J25" s="169">
        <v>8.1E7</v>
      </c>
      <c r="K25" s="169">
        <v>8.2E7</v>
      </c>
      <c r="L25" s="169">
        <v>8.0E7</v>
      </c>
      <c r="M25" s="169">
        <v>7.9E7</v>
      </c>
      <c r="N25" s="169">
        <v>7.8E7</v>
      </c>
      <c r="O25" s="169">
        <v>8.2E7</v>
      </c>
      <c r="P25" s="169">
        <v>8.15E7</v>
      </c>
      <c r="Q25" s="169">
        <v>8.25E7</v>
      </c>
      <c r="R25" s="168">
        <f t="shared" si="1"/>
        <v>974000000</v>
      </c>
      <c r="S25" s="78"/>
      <c r="T25" s="101"/>
      <c r="U25" s="101"/>
    </row>
    <row r="26" ht="15.75" customHeight="1">
      <c r="A26" s="58"/>
      <c r="B26" s="82"/>
      <c r="C26" s="166">
        <v>2.0</v>
      </c>
      <c r="D26" s="92" t="s">
        <v>145</v>
      </c>
      <c r="E26" s="94" t="s">
        <v>19</v>
      </c>
      <c r="F26" s="167">
        <v>1.68E7</v>
      </c>
      <c r="G26" s="167">
        <v>1.68E7</v>
      </c>
      <c r="H26" s="167">
        <v>1.68E7</v>
      </c>
      <c r="I26" s="167">
        <v>1.68E7</v>
      </c>
      <c r="J26" s="167">
        <v>1.68E7</v>
      </c>
      <c r="K26" s="167">
        <v>1.68E7</v>
      </c>
      <c r="L26" s="167">
        <v>1.68E7</v>
      </c>
      <c r="M26" s="167">
        <v>1.68E7</v>
      </c>
      <c r="N26" s="167">
        <v>1.68E7</v>
      </c>
      <c r="O26" s="167">
        <v>1.68E7</v>
      </c>
      <c r="P26" s="167">
        <v>1.68E7</v>
      </c>
      <c r="Q26" s="167">
        <v>1.68E7</v>
      </c>
      <c r="R26" s="168">
        <f t="shared" si="1"/>
        <v>201600000</v>
      </c>
      <c r="S26" s="100">
        <f>IFERROR(R26/R27,"")</f>
        <v>0.9901768173</v>
      </c>
      <c r="T26" s="101"/>
      <c r="U26" s="101"/>
    </row>
    <row r="27" ht="15.75" customHeight="1">
      <c r="A27" s="58"/>
      <c r="B27" s="82"/>
      <c r="C27" s="78"/>
      <c r="D27" s="78"/>
      <c r="E27" s="94" t="s">
        <v>26</v>
      </c>
      <c r="F27" s="169">
        <v>1.6E7</v>
      </c>
      <c r="G27" s="169">
        <v>1.65E7</v>
      </c>
      <c r="H27" s="169">
        <v>1.66E7</v>
      </c>
      <c r="I27" s="169">
        <v>1.7E7</v>
      </c>
      <c r="J27" s="169">
        <v>1.75E7</v>
      </c>
      <c r="K27" s="169">
        <v>1.85E7</v>
      </c>
      <c r="L27" s="169">
        <v>1.8E7</v>
      </c>
      <c r="M27" s="169">
        <v>1.9E7</v>
      </c>
      <c r="N27" s="169">
        <v>1.95E7</v>
      </c>
      <c r="O27" s="169">
        <v>1.8E7</v>
      </c>
      <c r="P27" s="169">
        <v>1.5E7</v>
      </c>
      <c r="Q27" s="169">
        <v>1.2E7</v>
      </c>
      <c r="R27" s="168">
        <f t="shared" si="1"/>
        <v>203600000</v>
      </c>
      <c r="S27" s="78"/>
      <c r="T27" s="101"/>
      <c r="U27" s="101"/>
    </row>
    <row r="28" ht="15.75" customHeight="1">
      <c r="A28" s="58"/>
      <c r="B28" s="82"/>
      <c r="C28" s="166">
        <v>3.0</v>
      </c>
      <c r="D28" s="175" t="s">
        <v>166</v>
      </c>
      <c r="E28" s="94" t="s">
        <v>19</v>
      </c>
      <c r="F28" s="167">
        <v>6.72E7</v>
      </c>
      <c r="G28" s="167">
        <v>6.72E7</v>
      </c>
      <c r="H28" s="167">
        <v>6.72E7</v>
      </c>
      <c r="I28" s="167">
        <v>6.72E7</v>
      </c>
      <c r="J28" s="167">
        <v>6.72E7</v>
      </c>
      <c r="K28" s="167">
        <v>6.72E7</v>
      </c>
      <c r="L28" s="167">
        <v>6.72E7</v>
      </c>
      <c r="M28" s="167">
        <v>6.72E7</v>
      </c>
      <c r="N28" s="167">
        <v>6.72E7</v>
      </c>
      <c r="O28" s="167">
        <v>6.72E7</v>
      </c>
      <c r="P28" s="167">
        <v>6.72E7</v>
      </c>
      <c r="Q28" s="167">
        <v>6.72E7</v>
      </c>
      <c r="R28" s="168">
        <f t="shared" si="1"/>
        <v>806400000</v>
      </c>
      <c r="S28" s="100">
        <f>IFERROR(R29/R28,"")</f>
        <v>0.9553571429</v>
      </c>
      <c r="T28" s="101"/>
      <c r="U28" s="101"/>
    </row>
    <row r="29" ht="15.75" customHeight="1">
      <c r="A29" s="58"/>
      <c r="B29" s="78"/>
      <c r="C29" s="78"/>
      <c r="D29" s="78"/>
      <c r="E29" s="94" t="s">
        <v>26</v>
      </c>
      <c r="F29" s="176">
        <f t="shared" ref="F29:Q29" si="2">F25-F27</f>
        <v>64000000</v>
      </c>
      <c r="G29" s="176">
        <f t="shared" si="2"/>
        <v>64500000</v>
      </c>
      <c r="H29" s="176">
        <f t="shared" si="2"/>
        <v>66400000</v>
      </c>
      <c r="I29" s="176">
        <f t="shared" si="2"/>
        <v>67000000</v>
      </c>
      <c r="J29" s="176">
        <f t="shared" si="2"/>
        <v>63500000</v>
      </c>
      <c r="K29" s="176">
        <f t="shared" si="2"/>
        <v>63500000</v>
      </c>
      <c r="L29" s="176">
        <f t="shared" si="2"/>
        <v>62000000</v>
      </c>
      <c r="M29" s="176">
        <f t="shared" si="2"/>
        <v>60000000</v>
      </c>
      <c r="N29" s="176">
        <f t="shared" si="2"/>
        <v>58500000</v>
      </c>
      <c r="O29" s="176">
        <f t="shared" si="2"/>
        <v>64000000</v>
      </c>
      <c r="P29" s="176">
        <f t="shared" si="2"/>
        <v>66500000</v>
      </c>
      <c r="Q29" s="176">
        <f t="shared" si="2"/>
        <v>70500000</v>
      </c>
      <c r="R29" s="168">
        <f t="shared" si="1"/>
        <v>770400000</v>
      </c>
      <c r="S29" s="78"/>
      <c r="T29" s="101"/>
      <c r="U29" s="101"/>
    </row>
    <row r="30" ht="15.75" customHeight="1">
      <c r="A30" s="58"/>
      <c r="B30" s="58"/>
      <c r="C30" s="58"/>
      <c r="D30" s="58"/>
      <c r="E30" s="177"/>
      <c r="F30" s="178"/>
      <c r="G30" s="178"/>
      <c r="H30" s="178"/>
      <c r="I30" s="178"/>
      <c r="J30" s="178"/>
      <c r="K30" s="178"/>
      <c r="L30" s="178"/>
      <c r="M30" s="178"/>
      <c r="N30" s="178"/>
      <c r="O30" s="178"/>
      <c r="P30" s="178"/>
      <c r="Q30" s="178"/>
      <c r="R30" s="178"/>
      <c r="S30" s="101"/>
      <c r="T30" s="179">
        <v>0.01</v>
      </c>
      <c r="U30" s="179"/>
    </row>
  </sheetData>
  <mergeCells count="48">
    <mergeCell ref="D16:D17"/>
    <mergeCell ref="C18:C19"/>
    <mergeCell ref="D18:D19"/>
    <mergeCell ref="C22:C23"/>
    <mergeCell ref="D22:D23"/>
    <mergeCell ref="D24:D25"/>
    <mergeCell ref="D26:D27"/>
    <mergeCell ref="D28:D29"/>
    <mergeCell ref="B24:B29"/>
    <mergeCell ref="C24:C25"/>
    <mergeCell ref="C26:C27"/>
    <mergeCell ref="C28:C29"/>
    <mergeCell ref="C8:C9"/>
    <mergeCell ref="D8:D9"/>
    <mergeCell ref="B10:B15"/>
    <mergeCell ref="C10:C11"/>
    <mergeCell ref="D10:D11"/>
    <mergeCell ref="D12:D13"/>
    <mergeCell ref="B16:B23"/>
    <mergeCell ref="C6:C7"/>
    <mergeCell ref="D6:D7"/>
    <mergeCell ref="B2:D2"/>
    <mergeCell ref="F2:I2"/>
    <mergeCell ref="J2:M2"/>
    <mergeCell ref="B3:C3"/>
    <mergeCell ref="B4:B9"/>
    <mergeCell ref="C4:C5"/>
    <mergeCell ref="D4:D5"/>
    <mergeCell ref="C14:C15"/>
    <mergeCell ref="D14:D15"/>
    <mergeCell ref="C12:C13"/>
    <mergeCell ref="C16:C17"/>
    <mergeCell ref="S16:S17"/>
    <mergeCell ref="S18:S19"/>
    <mergeCell ref="S20:S21"/>
    <mergeCell ref="S22:S23"/>
    <mergeCell ref="S24:S25"/>
    <mergeCell ref="S26:S27"/>
    <mergeCell ref="S28:S29"/>
    <mergeCell ref="N2:Q2"/>
    <mergeCell ref="S4:S5"/>
    <mergeCell ref="S6:S7"/>
    <mergeCell ref="S8:S9"/>
    <mergeCell ref="S10:S11"/>
    <mergeCell ref="S12:S13"/>
    <mergeCell ref="S14:S15"/>
    <mergeCell ref="C20:C21"/>
    <mergeCell ref="D20:D21"/>
  </mergeCells>
  <printOptions/>
  <pageMargins bottom="0.75" footer="0.0" header="0.0" left="0.7" right="0.7" top="0.75"/>
  <pageSetup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outlineLevelCol="4"/>
  <cols>
    <col customWidth="1" min="1" max="1" width="2.75"/>
    <col customWidth="1" min="2" max="2" width="5.63"/>
    <col customWidth="1" min="3" max="3" width="4.63"/>
    <col customWidth="1" min="4" max="4" width="19.25"/>
    <col customWidth="1" min="5" max="5" width="5.13"/>
    <col customWidth="1" min="6" max="6" width="9.63"/>
    <col customWidth="1" min="7" max="17" width="10.13"/>
    <col customWidth="1" min="18" max="18" width="10.63"/>
    <col customWidth="1" min="19" max="19" width="9.63"/>
    <col customWidth="1" min="20" max="21" width="2.75"/>
  </cols>
  <sheetData>
    <row r="1" ht="15.75" customHeight="1">
      <c r="A1" s="58"/>
      <c r="B1" s="58"/>
      <c r="C1" s="58"/>
      <c r="D1" s="58"/>
      <c r="E1" s="59"/>
      <c r="F1" s="59"/>
      <c r="G1" s="59"/>
      <c r="H1" s="59"/>
      <c r="I1" s="59"/>
      <c r="J1" s="59"/>
      <c r="K1" s="59"/>
      <c r="L1" s="59"/>
      <c r="M1" s="59"/>
      <c r="N1" s="59"/>
      <c r="O1" s="59"/>
      <c r="P1" s="59"/>
      <c r="Q1" s="59"/>
      <c r="R1" s="189"/>
      <c r="S1" s="64"/>
      <c r="T1" s="64"/>
      <c r="U1" s="64"/>
    </row>
    <row r="2" ht="15.75" customHeight="1">
      <c r="A2" s="58"/>
      <c r="B2" s="65" t="s">
        <v>243</v>
      </c>
      <c r="C2" s="63"/>
      <c r="D2" s="66"/>
      <c r="E2" s="67"/>
      <c r="F2" s="68" t="s">
        <v>25</v>
      </c>
      <c r="G2" s="63"/>
      <c r="H2" s="66"/>
      <c r="I2" s="68" t="s">
        <v>6</v>
      </c>
      <c r="J2" s="63"/>
      <c r="K2" s="66"/>
      <c r="L2" s="68" t="s">
        <v>27</v>
      </c>
      <c r="M2" s="63"/>
      <c r="N2" s="66"/>
      <c r="O2" s="68" t="s">
        <v>28</v>
      </c>
      <c r="P2" s="63"/>
      <c r="Q2" s="66"/>
      <c r="R2" s="191"/>
      <c r="S2" s="71"/>
      <c r="T2" s="64"/>
      <c r="U2" s="64"/>
    </row>
    <row r="3" ht="15.75" customHeight="1">
      <c r="A3" s="58"/>
      <c r="B3" s="192"/>
      <c r="C3" s="66"/>
      <c r="D3" s="75" t="s">
        <v>7</v>
      </c>
      <c r="E3" s="76"/>
      <c r="F3" s="79" t="s">
        <v>56</v>
      </c>
      <c r="G3" s="79" t="s">
        <v>57</v>
      </c>
      <c r="H3" s="79" t="s">
        <v>58</v>
      </c>
      <c r="I3" s="79" t="s">
        <v>59</v>
      </c>
      <c r="J3" s="79" t="s">
        <v>61</v>
      </c>
      <c r="K3" s="79" t="s">
        <v>62</v>
      </c>
      <c r="L3" s="79" t="s">
        <v>63</v>
      </c>
      <c r="M3" s="79" t="s">
        <v>64</v>
      </c>
      <c r="N3" s="79" t="s">
        <v>65</v>
      </c>
      <c r="O3" s="79" t="s">
        <v>66</v>
      </c>
      <c r="P3" s="79" t="s">
        <v>67</v>
      </c>
      <c r="Q3" s="79" t="s">
        <v>68</v>
      </c>
      <c r="R3" s="194" t="s">
        <v>37</v>
      </c>
      <c r="S3" s="85" t="s">
        <v>244</v>
      </c>
      <c r="T3" s="58"/>
      <c r="U3" s="58"/>
    </row>
    <row r="4" ht="15.75" customHeight="1">
      <c r="A4" s="64"/>
      <c r="B4" s="88" t="s">
        <v>17</v>
      </c>
      <c r="C4" s="89">
        <v>1.0</v>
      </c>
      <c r="D4" s="92" t="s">
        <v>18</v>
      </c>
      <c r="E4" s="94" t="s">
        <v>19</v>
      </c>
      <c r="F4" s="95">
        <v>7000.0</v>
      </c>
      <c r="G4" s="95">
        <v>7000.0</v>
      </c>
      <c r="H4" s="95">
        <v>7000.0</v>
      </c>
      <c r="I4" s="95">
        <v>7000.0</v>
      </c>
      <c r="J4" s="95">
        <v>7000.0</v>
      </c>
      <c r="K4" s="95">
        <v>7000.0</v>
      </c>
      <c r="L4" s="95">
        <v>7000.0</v>
      </c>
      <c r="M4" s="95">
        <v>7000.0</v>
      </c>
      <c r="N4" s="95">
        <v>7000.0</v>
      </c>
      <c r="O4" s="95">
        <v>7000.0</v>
      </c>
      <c r="P4" s="95">
        <v>7000.0</v>
      </c>
      <c r="Q4" s="95">
        <v>7000.0</v>
      </c>
      <c r="R4" s="168">
        <f t="shared" ref="R4:R29" si="1">SUM(F4:Q4)</f>
        <v>84000</v>
      </c>
      <c r="S4" s="100">
        <f>IFERROR(R5/R4,"")</f>
        <v>0.9797619048</v>
      </c>
      <c r="T4" s="101"/>
      <c r="U4" s="101"/>
    </row>
    <row r="5" ht="15.75" customHeight="1">
      <c r="A5" s="64"/>
      <c r="B5" s="82"/>
      <c r="C5" s="78"/>
      <c r="D5" s="78"/>
      <c r="E5" s="94" t="s">
        <v>26</v>
      </c>
      <c r="F5" s="103">
        <v>6500.0</v>
      </c>
      <c r="G5" s="103">
        <v>6800.0</v>
      </c>
      <c r="H5" s="103">
        <v>6700.0</v>
      </c>
      <c r="I5" s="103">
        <v>6600.0</v>
      </c>
      <c r="J5" s="103">
        <v>6800.0</v>
      </c>
      <c r="K5" s="103">
        <v>6900.0</v>
      </c>
      <c r="L5" s="103">
        <v>7000.0</v>
      </c>
      <c r="M5" s="103">
        <v>7050.0</v>
      </c>
      <c r="N5" s="103">
        <v>7100.0</v>
      </c>
      <c r="O5" s="103">
        <v>6950.0</v>
      </c>
      <c r="P5" s="103">
        <v>6900.0</v>
      </c>
      <c r="Q5" s="103">
        <v>7000.0</v>
      </c>
      <c r="R5" s="168">
        <f t="shared" si="1"/>
        <v>82300</v>
      </c>
      <c r="S5" s="78"/>
      <c r="T5" s="101"/>
      <c r="U5" s="101"/>
    </row>
    <row r="6" ht="15.75" customHeight="1">
      <c r="A6" s="64"/>
      <c r="B6" s="82"/>
      <c r="C6" s="89">
        <v>2.0</v>
      </c>
      <c r="D6" s="111" t="s">
        <v>40</v>
      </c>
      <c r="E6" s="94" t="s">
        <v>19</v>
      </c>
      <c r="F6" s="95">
        <v>1400.0</v>
      </c>
      <c r="G6" s="95">
        <v>1400.0</v>
      </c>
      <c r="H6" s="95">
        <v>1400.0</v>
      </c>
      <c r="I6" s="95">
        <v>1400.0</v>
      </c>
      <c r="J6" s="95">
        <v>1400.0</v>
      </c>
      <c r="K6" s="95">
        <v>1400.0</v>
      </c>
      <c r="L6" s="95">
        <v>1400.0</v>
      </c>
      <c r="M6" s="95">
        <v>1400.0</v>
      </c>
      <c r="N6" s="95">
        <v>1400.0</v>
      </c>
      <c r="O6" s="95">
        <v>1400.0</v>
      </c>
      <c r="P6" s="95">
        <v>1400.0</v>
      </c>
      <c r="Q6" s="95">
        <v>1400.0</v>
      </c>
      <c r="R6" s="168">
        <f t="shared" si="1"/>
        <v>16800</v>
      </c>
      <c r="S6" s="100">
        <f>IFERROR(R7/R6,"")</f>
        <v>0.9744047619</v>
      </c>
      <c r="T6" s="101"/>
      <c r="U6" s="101"/>
    </row>
    <row r="7" ht="15.75" customHeight="1">
      <c r="A7" s="64"/>
      <c r="B7" s="82"/>
      <c r="C7" s="78"/>
      <c r="E7" s="94" t="s">
        <v>26</v>
      </c>
      <c r="F7" s="103">
        <v>1300.0</v>
      </c>
      <c r="G7" s="103">
        <v>1350.0</v>
      </c>
      <c r="H7" s="103">
        <v>1320.0</v>
      </c>
      <c r="I7" s="103">
        <v>1330.0</v>
      </c>
      <c r="J7" s="103">
        <v>1340.0</v>
      </c>
      <c r="K7" s="103">
        <v>1360.0</v>
      </c>
      <c r="L7" s="103">
        <v>1370.0</v>
      </c>
      <c r="M7" s="103">
        <v>1380.0</v>
      </c>
      <c r="N7" s="103">
        <v>1390.0</v>
      </c>
      <c r="O7" s="103">
        <v>1400.0</v>
      </c>
      <c r="P7" s="103">
        <v>1410.0</v>
      </c>
      <c r="Q7" s="103">
        <v>1420.0</v>
      </c>
      <c r="R7" s="168">
        <f t="shared" si="1"/>
        <v>16370</v>
      </c>
      <c r="S7" s="78"/>
      <c r="T7" s="101"/>
      <c r="U7" s="101"/>
    </row>
    <row r="8" ht="15.75" customHeight="1">
      <c r="A8" s="64"/>
      <c r="B8" s="82"/>
      <c r="C8" s="89">
        <v>3.0</v>
      </c>
      <c r="D8" s="92" t="s">
        <v>42</v>
      </c>
      <c r="E8" s="94" t="s">
        <v>19</v>
      </c>
      <c r="F8" s="196">
        <v>280.0</v>
      </c>
      <c r="G8" s="196">
        <v>280.0</v>
      </c>
      <c r="H8" s="196">
        <v>280.0</v>
      </c>
      <c r="I8" s="196">
        <v>280.0</v>
      </c>
      <c r="J8" s="196">
        <v>280.0</v>
      </c>
      <c r="K8" s="196">
        <v>280.0</v>
      </c>
      <c r="L8" s="196">
        <v>280.0</v>
      </c>
      <c r="M8" s="196">
        <v>280.0</v>
      </c>
      <c r="N8" s="196">
        <v>280.0</v>
      </c>
      <c r="O8" s="196">
        <v>280.0</v>
      </c>
      <c r="P8" s="196">
        <v>280.0</v>
      </c>
      <c r="Q8" s="196">
        <v>280.0</v>
      </c>
      <c r="R8" s="168">
        <f t="shared" si="1"/>
        <v>3360</v>
      </c>
      <c r="S8" s="100">
        <f>IFERROR(R9/R8,"")</f>
        <v>0.9613095238</v>
      </c>
      <c r="T8" s="101"/>
      <c r="U8" s="101"/>
    </row>
    <row r="9" ht="15.75" customHeight="1">
      <c r="A9" s="64"/>
      <c r="B9" s="78"/>
      <c r="C9" s="78"/>
      <c r="D9" s="78"/>
      <c r="E9" s="94" t="s">
        <v>26</v>
      </c>
      <c r="F9" s="103">
        <v>240.0</v>
      </c>
      <c r="G9" s="103">
        <v>260.0</v>
      </c>
      <c r="H9" s="103">
        <v>250.0</v>
      </c>
      <c r="I9" s="103">
        <v>255.0</v>
      </c>
      <c r="J9" s="103">
        <v>260.0</v>
      </c>
      <c r="K9" s="103">
        <v>270.0</v>
      </c>
      <c r="L9" s="103">
        <v>280.0</v>
      </c>
      <c r="M9" s="103">
        <v>285.0</v>
      </c>
      <c r="N9" s="103">
        <v>290.0</v>
      </c>
      <c r="O9" s="103">
        <v>275.0</v>
      </c>
      <c r="P9" s="103">
        <v>270.0</v>
      </c>
      <c r="Q9" s="103">
        <v>295.0</v>
      </c>
      <c r="R9" s="168">
        <f t="shared" si="1"/>
        <v>3230</v>
      </c>
      <c r="S9" s="78"/>
      <c r="T9" s="101"/>
      <c r="U9" s="101"/>
    </row>
    <row r="10" ht="15.75" customHeight="1">
      <c r="A10" s="64"/>
      <c r="B10" s="88" t="s">
        <v>44</v>
      </c>
      <c r="C10" s="89">
        <v>1.0</v>
      </c>
      <c r="D10" s="92" t="s">
        <v>46</v>
      </c>
      <c r="E10" s="94" t="s">
        <v>19</v>
      </c>
      <c r="F10" s="95">
        <v>200.0</v>
      </c>
      <c r="G10" s="95">
        <v>200.0</v>
      </c>
      <c r="H10" s="95">
        <v>200.0</v>
      </c>
      <c r="I10" s="95">
        <v>200.0</v>
      </c>
      <c r="J10" s="95">
        <v>200.0</v>
      </c>
      <c r="K10" s="95">
        <v>200.0</v>
      </c>
      <c r="L10" s="95">
        <v>200.0</v>
      </c>
      <c r="M10" s="95">
        <v>200.0</v>
      </c>
      <c r="N10" s="95">
        <v>200.0</v>
      </c>
      <c r="O10" s="95">
        <v>200.0</v>
      </c>
      <c r="P10" s="95">
        <v>200.0</v>
      </c>
      <c r="Q10" s="95">
        <v>200.0</v>
      </c>
      <c r="R10" s="168">
        <f t="shared" si="1"/>
        <v>2400</v>
      </c>
      <c r="S10" s="100">
        <f>IFERROR(R11/R10,"")</f>
        <v>0.99125</v>
      </c>
      <c r="T10" s="101"/>
      <c r="U10" s="101"/>
    </row>
    <row r="11" ht="15.75" customHeight="1">
      <c r="A11" s="64"/>
      <c r="B11" s="82"/>
      <c r="C11" s="78"/>
      <c r="D11" s="78"/>
      <c r="E11" s="94" t="s">
        <v>26</v>
      </c>
      <c r="F11" s="103">
        <v>190.0</v>
      </c>
      <c r="G11" s="103">
        <v>185.0</v>
      </c>
      <c r="H11" s="103">
        <v>189.0</v>
      </c>
      <c r="I11" s="103">
        <v>194.0</v>
      </c>
      <c r="J11" s="103">
        <v>195.0</v>
      </c>
      <c r="K11" s="103">
        <v>200.0</v>
      </c>
      <c r="L11" s="103">
        <v>204.0</v>
      </c>
      <c r="M11" s="103">
        <v>205.0</v>
      </c>
      <c r="N11" s="103">
        <v>200.0</v>
      </c>
      <c r="O11" s="103">
        <v>202.0</v>
      </c>
      <c r="P11" s="103">
        <v>207.0</v>
      </c>
      <c r="Q11" s="103">
        <v>208.0</v>
      </c>
      <c r="R11" s="168">
        <f t="shared" si="1"/>
        <v>2379</v>
      </c>
      <c r="S11" s="78"/>
      <c r="T11" s="101"/>
      <c r="U11" s="101"/>
    </row>
    <row r="12" ht="15.75" customHeight="1">
      <c r="A12" s="64"/>
      <c r="B12" s="82"/>
      <c r="C12" s="89">
        <v>2.0</v>
      </c>
      <c r="D12" s="92" t="s">
        <v>52</v>
      </c>
      <c r="E12" s="94" t="s">
        <v>19</v>
      </c>
      <c r="F12" s="95">
        <v>140.0</v>
      </c>
      <c r="G12" s="95">
        <v>140.0</v>
      </c>
      <c r="H12" s="95">
        <v>140.0</v>
      </c>
      <c r="I12" s="95">
        <v>140.0</v>
      </c>
      <c r="J12" s="95">
        <v>140.0</v>
      </c>
      <c r="K12" s="95">
        <v>140.0</v>
      </c>
      <c r="L12" s="95">
        <v>140.0</v>
      </c>
      <c r="M12" s="95">
        <v>140.0</v>
      </c>
      <c r="N12" s="95">
        <v>140.0</v>
      </c>
      <c r="O12" s="95">
        <v>140.0</v>
      </c>
      <c r="P12" s="95">
        <v>140.0</v>
      </c>
      <c r="Q12" s="95">
        <v>140.0</v>
      </c>
      <c r="R12" s="168">
        <f t="shared" si="1"/>
        <v>1680</v>
      </c>
      <c r="S12" s="100">
        <f>IFERROR(R13/R12,"")</f>
        <v>0.969047619</v>
      </c>
      <c r="T12" s="101"/>
      <c r="U12" s="101"/>
    </row>
    <row r="13" ht="15.75" customHeight="1">
      <c r="A13" s="64"/>
      <c r="B13" s="82"/>
      <c r="C13" s="78"/>
      <c r="D13" s="78"/>
      <c r="E13" s="94" t="s">
        <v>26</v>
      </c>
      <c r="F13" s="103">
        <v>120.0</v>
      </c>
      <c r="G13" s="103">
        <v>130.0</v>
      </c>
      <c r="H13" s="103">
        <v>135.0</v>
      </c>
      <c r="I13" s="103">
        <v>125.0</v>
      </c>
      <c r="J13" s="103">
        <v>140.0</v>
      </c>
      <c r="K13" s="103">
        <v>145.0</v>
      </c>
      <c r="L13" s="103">
        <v>126.0</v>
      </c>
      <c r="M13" s="103">
        <v>134.0</v>
      </c>
      <c r="N13" s="103">
        <v>136.0</v>
      </c>
      <c r="O13" s="103">
        <v>142.0</v>
      </c>
      <c r="P13" s="103">
        <v>145.0</v>
      </c>
      <c r="Q13" s="103">
        <v>150.0</v>
      </c>
      <c r="R13" s="168">
        <f t="shared" si="1"/>
        <v>1628</v>
      </c>
      <c r="S13" s="78"/>
      <c r="T13" s="101"/>
      <c r="U13" s="101"/>
    </row>
    <row r="14" ht="15.75" customHeight="1">
      <c r="A14" s="64"/>
      <c r="B14" s="82"/>
      <c r="C14" s="89">
        <v>3.0</v>
      </c>
      <c r="D14" s="92" t="s">
        <v>53</v>
      </c>
      <c r="E14" s="94" t="s">
        <v>19</v>
      </c>
      <c r="F14" s="196">
        <v>56.0</v>
      </c>
      <c r="G14" s="196">
        <v>56.0</v>
      </c>
      <c r="H14" s="196">
        <v>56.0</v>
      </c>
      <c r="I14" s="196">
        <v>56.0</v>
      </c>
      <c r="J14" s="196">
        <v>56.0</v>
      </c>
      <c r="K14" s="196">
        <v>56.0</v>
      </c>
      <c r="L14" s="196">
        <v>56.0</v>
      </c>
      <c r="M14" s="196">
        <v>56.0</v>
      </c>
      <c r="N14" s="196">
        <v>56.0</v>
      </c>
      <c r="O14" s="196">
        <v>56.0</v>
      </c>
      <c r="P14" s="196">
        <v>56.0</v>
      </c>
      <c r="Q14" s="196">
        <v>56.0</v>
      </c>
      <c r="R14" s="168">
        <f t="shared" si="1"/>
        <v>672</v>
      </c>
      <c r="S14" s="100">
        <f>IFERROR(R15/R14,"")</f>
        <v>0.9241071429</v>
      </c>
      <c r="T14" s="101"/>
      <c r="U14" s="101"/>
    </row>
    <row r="15" ht="15.75" customHeight="1">
      <c r="A15" s="64"/>
      <c r="B15" s="78"/>
      <c r="C15" s="78"/>
      <c r="D15" s="78"/>
      <c r="E15" s="94" t="s">
        <v>26</v>
      </c>
      <c r="F15" s="103">
        <v>45.0</v>
      </c>
      <c r="G15" s="103">
        <v>48.0</v>
      </c>
      <c r="H15" s="103">
        <v>52.0</v>
      </c>
      <c r="I15" s="103">
        <v>50.0</v>
      </c>
      <c r="J15" s="103">
        <v>51.0</v>
      </c>
      <c r="K15" s="103">
        <v>44.0</v>
      </c>
      <c r="L15" s="103">
        <v>48.0</v>
      </c>
      <c r="M15" s="103">
        <v>55.0</v>
      </c>
      <c r="N15" s="103">
        <v>56.0</v>
      </c>
      <c r="O15" s="103">
        <v>54.0</v>
      </c>
      <c r="P15" s="103">
        <v>58.0</v>
      </c>
      <c r="Q15" s="103">
        <v>60.0</v>
      </c>
      <c r="R15" s="168">
        <f t="shared" si="1"/>
        <v>621</v>
      </c>
      <c r="S15" s="78"/>
      <c r="T15" s="101"/>
      <c r="U15" s="101"/>
    </row>
    <row r="16" ht="15.75" customHeight="1">
      <c r="A16" s="64"/>
      <c r="B16" s="88" t="s">
        <v>54</v>
      </c>
      <c r="C16" s="89">
        <v>1.0</v>
      </c>
      <c r="D16" s="92" t="s">
        <v>55</v>
      </c>
      <c r="E16" s="94" t="s">
        <v>19</v>
      </c>
      <c r="F16" s="95">
        <v>168.0</v>
      </c>
      <c r="G16" s="95">
        <v>168.0</v>
      </c>
      <c r="H16" s="95">
        <v>168.0</v>
      </c>
      <c r="I16" s="95">
        <v>168.0</v>
      </c>
      <c r="J16" s="95">
        <v>168.0</v>
      </c>
      <c r="K16" s="95">
        <v>168.0</v>
      </c>
      <c r="L16" s="95">
        <v>168.0</v>
      </c>
      <c r="M16" s="95">
        <v>168.0</v>
      </c>
      <c r="N16" s="95">
        <v>168.0</v>
      </c>
      <c r="O16" s="95">
        <v>168.0</v>
      </c>
      <c r="P16" s="95">
        <v>168.0</v>
      </c>
      <c r="Q16" s="95">
        <v>168.0</v>
      </c>
      <c r="R16" s="168">
        <f t="shared" si="1"/>
        <v>2016</v>
      </c>
      <c r="S16" s="100">
        <f>IFERROR(R17/R16,"")</f>
        <v>0.9702380952</v>
      </c>
      <c r="T16" s="101"/>
      <c r="U16" s="101"/>
    </row>
    <row r="17" ht="15.75" customHeight="1">
      <c r="A17" s="64"/>
      <c r="B17" s="82"/>
      <c r="C17" s="78"/>
      <c r="D17" s="78"/>
      <c r="E17" s="94" t="s">
        <v>26</v>
      </c>
      <c r="F17" s="103">
        <v>155.0</v>
      </c>
      <c r="G17" s="103">
        <v>156.0</v>
      </c>
      <c r="H17" s="103">
        <v>160.0</v>
      </c>
      <c r="I17" s="103">
        <v>165.0</v>
      </c>
      <c r="J17" s="103">
        <v>166.0</v>
      </c>
      <c r="K17" s="103">
        <v>168.0</v>
      </c>
      <c r="L17" s="103">
        <v>170.0</v>
      </c>
      <c r="M17" s="103">
        <v>160.0</v>
      </c>
      <c r="N17" s="103">
        <v>170.0</v>
      </c>
      <c r="O17" s="103">
        <v>166.0</v>
      </c>
      <c r="P17" s="103">
        <v>170.0</v>
      </c>
      <c r="Q17" s="103">
        <v>150.0</v>
      </c>
      <c r="R17" s="168">
        <f t="shared" si="1"/>
        <v>1956</v>
      </c>
      <c r="S17" s="78"/>
      <c r="T17" s="101"/>
      <c r="U17" s="101"/>
    </row>
    <row r="18" ht="15.75" customHeight="1">
      <c r="A18" s="64"/>
      <c r="B18" s="82"/>
      <c r="C18" s="89">
        <v>2.0</v>
      </c>
      <c r="D18" s="146" t="s">
        <v>60</v>
      </c>
      <c r="E18" s="94" t="s">
        <v>19</v>
      </c>
      <c r="F18" s="95">
        <v>112.0</v>
      </c>
      <c r="G18" s="95">
        <v>112.0</v>
      </c>
      <c r="H18" s="95">
        <v>112.0</v>
      </c>
      <c r="I18" s="95">
        <v>112.0</v>
      </c>
      <c r="J18" s="95">
        <v>112.0</v>
      </c>
      <c r="K18" s="95">
        <v>112.0</v>
      </c>
      <c r="L18" s="95">
        <v>112.0</v>
      </c>
      <c r="M18" s="95">
        <v>112.0</v>
      </c>
      <c r="N18" s="95">
        <v>112.0</v>
      </c>
      <c r="O18" s="95">
        <v>112.0</v>
      </c>
      <c r="P18" s="95">
        <v>112.0</v>
      </c>
      <c r="Q18" s="95">
        <v>112.0</v>
      </c>
      <c r="R18" s="168">
        <f t="shared" si="1"/>
        <v>1344</v>
      </c>
      <c r="S18" s="100">
        <f>IFERROR(R19/R18,"")</f>
        <v>0.9702380952</v>
      </c>
      <c r="T18" s="101"/>
      <c r="U18" s="101"/>
    </row>
    <row r="19" ht="15.75" customHeight="1">
      <c r="A19" s="64"/>
      <c r="B19" s="82"/>
      <c r="C19" s="78"/>
      <c r="D19" s="78"/>
      <c r="E19" s="94" t="s">
        <v>26</v>
      </c>
      <c r="F19" s="103">
        <v>100.0</v>
      </c>
      <c r="G19" s="103">
        <v>105.0</v>
      </c>
      <c r="H19" s="103">
        <v>106.0</v>
      </c>
      <c r="I19" s="103">
        <v>108.0</v>
      </c>
      <c r="J19" s="103">
        <v>110.0</v>
      </c>
      <c r="K19" s="103">
        <v>112.0</v>
      </c>
      <c r="L19" s="103">
        <v>115.0</v>
      </c>
      <c r="M19" s="103">
        <v>100.0</v>
      </c>
      <c r="N19" s="103">
        <v>110.0</v>
      </c>
      <c r="O19" s="103">
        <v>105.0</v>
      </c>
      <c r="P19" s="103">
        <v>115.0</v>
      </c>
      <c r="Q19" s="103">
        <v>118.0</v>
      </c>
      <c r="R19" s="168">
        <f t="shared" si="1"/>
        <v>1304</v>
      </c>
      <c r="S19" s="78"/>
      <c r="T19" s="101"/>
      <c r="U19" s="101"/>
    </row>
    <row r="20" ht="15.75" customHeight="1">
      <c r="A20" s="64"/>
      <c r="B20" s="82"/>
      <c r="C20" s="89">
        <v>3.0</v>
      </c>
      <c r="D20" s="92" t="s">
        <v>74</v>
      </c>
      <c r="E20" s="94" t="s">
        <v>19</v>
      </c>
      <c r="F20" s="95">
        <v>56.0</v>
      </c>
      <c r="G20" s="95">
        <v>56.0</v>
      </c>
      <c r="H20" s="95">
        <v>56.0</v>
      </c>
      <c r="I20" s="95">
        <v>56.0</v>
      </c>
      <c r="J20" s="95">
        <v>56.0</v>
      </c>
      <c r="K20" s="95">
        <v>56.0</v>
      </c>
      <c r="L20" s="95">
        <v>56.0</v>
      </c>
      <c r="M20" s="95">
        <v>56.0</v>
      </c>
      <c r="N20" s="95">
        <v>56.0</v>
      </c>
      <c r="O20" s="95">
        <v>56.0</v>
      </c>
      <c r="P20" s="95">
        <v>56.0</v>
      </c>
      <c r="Q20" s="95">
        <v>56.0</v>
      </c>
      <c r="R20" s="168">
        <f t="shared" si="1"/>
        <v>672</v>
      </c>
      <c r="S20" s="100">
        <f>IFERROR(R21/R20,"")</f>
        <v>0.9255952381</v>
      </c>
      <c r="T20" s="101"/>
      <c r="U20" s="101"/>
    </row>
    <row r="21" ht="15.75" customHeight="1">
      <c r="A21" s="64"/>
      <c r="B21" s="82"/>
      <c r="C21" s="78"/>
      <c r="D21" s="78"/>
      <c r="E21" s="94" t="s">
        <v>26</v>
      </c>
      <c r="F21" s="103">
        <v>45.0</v>
      </c>
      <c r="G21" s="103">
        <v>48.0</v>
      </c>
      <c r="H21" s="103">
        <v>46.0</v>
      </c>
      <c r="I21" s="103">
        <v>50.0</v>
      </c>
      <c r="J21" s="103">
        <v>52.0</v>
      </c>
      <c r="K21" s="103">
        <v>55.0</v>
      </c>
      <c r="L21" s="103">
        <v>54.0</v>
      </c>
      <c r="M21" s="103">
        <v>56.0</v>
      </c>
      <c r="N21" s="103">
        <v>58.0</v>
      </c>
      <c r="O21" s="103">
        <v>60.0</v>
      </c>
      <c r="P21" s="103">
        <v>48.0</v>
      </c>
      <c r="Q21" s="103">
        <v>50.0</v>
      </c>
      <c r="R21" s="168">
        <f t="shared" si="1"/>
        <v>622</v>
      </c>
      <c r="S21" s="78"/>
      <c r="T21" s="101"/>
      <c r="U21" s="101"/>
    </row>
    <row r="22" ht="15.75" customHeight="1">
      <c r="A22" s="64"/>
      <c r="B22" s="82"/>
      <c r="C22" s="89">
        <v>4.0</v>
      </c>
      <c r="D22" s="146" t="s">
        <v>88</v>
      </c>
      <c r="E22" s="94" t="s">
        <v>19</v>
      </c>
      <c r="F22" s="95">
        <v>200.0</v>
      </c>
      <c r="G22" s="95">
        <v>200.0</v>
      </c>
      <c r="H22" s="95">
        <v>200.0</v>
      </c>
      <c r="I22" s="95">
        <v>200.0</v>
      </c>
      <c r="J22" s="95">
        <v>200.0</v>
      </c>
      <c r="K22" s="95">
        <v>200.0</v>
      </c>
      <c r="L22" s="95">
        <v>200.0</v>
      </c>
      <c r="M22" s="95">
        <v>200.0</v>
      </c>
      <c r="N22" s="95">
        <v>200.0</v>
      </c>
      <c r="O22" s="95">
        <v>200.0</v>
      </c>
      <c r="P22" s="95">
        <v>200.0</v>
      </c>
      <c r="Q22" s="95">
        <v>200.0</v>
      </c>
      <c r="R22" s="168">
        <f t="shared" si="1"/>
        <v>2400</v>
      </c>
      <c r="S22" s="100">
        <f>IFERROR(R23/R22,"")</f>
        <v>0.9966666667</v>
      </c>
      <c r="T22" s="101"/>
      <c r="U22" s="101"/>
    </row>
    <row r="23" ht="15.75" customHeight="1">
      <c r="A23" s="64"/>
      <c r="B23" s="78"/>
      <c r="C23" s="78"/>
      <c r="D23" s="78"/>
      <c r="E23" s="94" t="s">
        <v>26</v>
      </c>
      <c r="F23" s="103">
        <v>190.0</v>
      </c>
      <c r="G23" s="103">
        <v>185.0</v>
      </c>
      <c r="H23" s="103">
        <v>180.0</v>
      </c>
      <c r="I23" s="103">
        <v>175.0</v>
      </c>
      <c r="J23" s="103">
        <v>195.0</v>
      </c>
      <c r="K23" s="103">
        <v>198.0</v>
      </c>
      <c r="L23" s="103">
        <v>200.0</v>
      </c>
      <c r="M23" s="103">
        <v>205.0</v>
      </c>
      <c r="N23" s="103">
        <v>204.0</v>
      </c>
      <c r="O23" s="103">
        <v>210.0</v>
      </c>
      <c r="P23" s="103">
        <v>220.0</v>
      </c>
      <c r="Q23" s="103">
        <v>230.0</v>
      </c>
      <c r="R23" s="168">
        <f t="shared" si="1"/>
        <v>2392</v>
      </c>
      <c r="S23" s="78"/>
      <c r="T23" s="101"/>
      <c r="U23" s="101"/>
    </row>
    <row r="24" ht="15.75" customHeight="1">
      <c r="A24" s="58"/>
      <c r="B24" s="165" t="s">
        <v>101</v>
      </c>
      <c r="C24" s="166">
        <v>1.0</v>
      </c>
      <c r="D24" s="92" t="s">
        <v>109</v>
      </c>
      <c r="E24" s="94" t="s">
        <v>19</v>
      </c>
      <c r="F24" s="167">
        <v>2.8E7</v>
      </c>
      <c r="G24" s="167">
        <v>2.8E7</v>
      </c>
      <c r="H24" s="167">
        <v>2.8E7</v>
      </c>
      <c r="I24" s="167">
        <v>2.8E7</v>
      </c>
      <c r="J24" s="167">
        <v>2.8E7</v>
      </c>
      <c r="K24" s="167">
        <v>2.8E7</v>
      </c>
      <c r="L24" s="167">
        <v>2.8E7</v>
      </c>
      <c r="M24" s="167">
        <v>2.8E7</v>
      </c>
      <c r="N24" s="167">
        <v>2.8E7</v>
      </c>
      <c r="O24" s="167">
        <v>2.8E7</v>
      </c>
      <c r="P24" s="167">
        <v>2.8E7</v>
      </c>
      <c r="Q24" s="167">
        <v>2.8E7</v>
      </c>
      <c r="R24" s="168">
        <f t="shared" si="1"/>
        <v>336000000</v>
      </c>
      <c r="S24" s="100">
        <f>IFERROR(R25/R24,"")</f>
        <v>0.9895833333</v>
      </c>
      <c r="T24" s="101"/>
      <c r="U24" s="101"/>
    </row>
    <row r="25" ht="15.75" customHeight="1">
      <c r="A25" s="58"/>
      <c r="B25" s="82"/>
      <c r="C25" s="78"/>
      <c r="D25" s="78"/>
      <c r="E25" s="94" t="s">
        <v>26</v>
      </c>
      <c r="F25" s="169">
        <v>2.5E7</v>
      </c>
      <c r="G25" s="169">
        <v>2.6E7</v>
      </c>
      <c r="H25" s="169">
        <v>2.65E7</v>
      </c>
      <c r="I25" s="169">
        <v>2.5E7</v>
      </c>
      <c r="J25" s="169">
        <v>2.55E7</v>
      </c>
      <c r="K25" s="169">
        <v>2.75E7</v>
      </c>
      <c r="L25" s="169">
        <v>2.8E7</v>
      </c>
      <c r="M25" s="169">
        <v>2.85E7</v>
      </c>
      <c r="N25" s="169">
        <v>2.9E7</v>
      </c>
      <c r="O25" s="169">
        <v>2.95E7</v>
      </c>
      <c r="P25" s="169">
        <v>3.0E7</v>
      </c>
      <c r="Q25" s="169">
        <v>3.2E7</v>
      </c>
      <c r="R25" s="168">
        <f t="shared" si="1"/>
        <v>332500000</v>
      </c>
      <c r="S25" s="78"/>
      <c r="T25" s="101"/>
      <c r="U25" s="101"/>
    </row>
    <row r="26" ht="15.75" customHeight="1">
      <c r="A26" s="58"/>
      <c r="B26" s="82"/>
      <c r="C26" s="166">
        <v>2.0</v>
      </c>
      <c r="D26" s="92" t="s">
        <v>145</v>
      </c>
      <c r="E26" s="94" t="s">
        <v>19</v>
      </c>
      <c r="F26" s="167">
        <v>5600000.0</v>
      </c>
      <c r="G26" s="167">
        <v>5600000.0</v>
      </c>
      <c r="H26" s="167">
        <v>5600000.0</v>
      </c>
      <c r="I26" s="167">
        <v>5600000.0</v>
      </c>
      <c r="J26" s="167">
        <v>5600000.0</v>
      </c>
      <c r="K26" s="167">
        <v>5600000.0</v>
      </c>
      <c r="L26" s="167">
        <v>5600000.0</v>
      </c>
      <c r="M26" s="167">
        <v>5600000.0</v>
      </c>
      <c r="N26" s="167">
        <v>5600000.0</v>
      </c>
      <c r="O26" s="167">
        <v>5600000.0</v>
      </c>
      <c r="P26" s="167">
        <v>5600000.0</v>
      </c>
      <c r="Q26" s="167">
        <v>5600000.0</v>
      </c>
      <c r="R26" s="168">
        <f t="shared" si="1"/>
        <v>67200000</v>
      </c>
      <c r="S26" s="100">
        <f>IFERROR(R26/R27,"")</f>
        <v>1.011286682</v>
      </c>
      <c r="T26" s="101"/>
      <c r="U26" s="101"/>
    </row>
    <row r="27" ht="15.75" customHeight="1">
      <c r="A27" s="58"/>
      <c r="B27" s="82"/>
      <c r="C27" s="78"/>
      <c r="D27" s="78"/>
      <c r="E27" s="94" t="s">
        <v>26</v>
      </c>
      <c r="F27" s="169">
        <v>5400000.0</v>
      </c>
      <c r="G27" s="169">
        <v>5500000.0</v>
      </c>
      <c r="H27" s="169">
        <v>5300000.0</v>
      </c>
      <c r="I27" s="169">
        <v>5600000.0</v>
      </c>
      <c r="J27" s="169">
        <v>5700000.0</v>
      </c>
      <c r="K27" s="169">
        <v>5400000.0</v>
      </c>
      <c r="L27" s="169">
        <v>5550000.0</v>
      </c>
      <c r="M27" s="169">
        <v>5600000.0</v>
      </c>
      <c r="N27" s="169">
        <v>5400000.0</v>
      </c>
      <c r="O27" s="169">
        <v>5700000.0</v>
      </c>
      <c r="P27" s="169">
        <v>5800000.0</v>
      </c>
      <c r="Q27" s="169">
        <v>5500000.0</v>
      </c>
      <c r="R27" s="168">
        <f t="shared" si="1"/>
        <v>66450000</v>
      </c>
      <c r="S27" s="78"/>
      <c r="T27" s="101"/>
      <c r="U27" s="101"/>
    </row>
    <row r="28" ht="15.75" customHeight="1">
      <c r="A28" s="58"/>
      <c r="B28" s="82"/>
      <c r="C28" s="166">
        <v>3.0</v>
      </c>
      <c r="D28" s="175" t="s">
        <v>166</v>
      </c>
      <c r="E28" s="94" t="s">
        <v>19</v>
      </c>
      <c r="F28" s="167">
        <v>2.24E7</v>
      </c>
      <c r="G28" s="167">
        <v>2.24E7</v>
      </c>
      <c r="H28" s="167">
        <v>2.24E7</v>
      </c>
      <c r="I28" s="167">
        <v>2.24E7</v>
      </c>
      <c r="J28" s="167">
        <v>2.24E7</v>
      </c>
      <c r="K28" s="167">
        <v>2.24E7</v>
      </c>
      <c r="L28" s="167">
        <v>2.24E7</v>
      </c>
      <c r="M28" s="167">
        <v>2.24E7</v>
      </c>
      <c r="N28" s="167">
        <v>2.24E7</v>
      </c>
      <c r="O28" s="167">
        <v>2.24E7</v>
      </c>
      <c r="P28" s="167">
        <v>2.24E7</v>
      </c>
      <c r="Q28" s="167">
        <v>2.24E7</v>
      </c>
      <c r="R28" s="168">
        <f t="shared" si="1"/>
        <v>268800000</v>
      </c>
      <c r="S28" s="100">
        <f>IFERROR(R29/R28,"")</f>
        <v>0.9897693452</v>
      </c>
      <c r="T28" s="101"/>
      <c r="U28" s="101"/>
    </row>
    <row r="29" ht="15.75" customHeight="1">
      <c r="A29" s="58"/>
      <c r="B29" s="78"/>
      <c r="C29" s="78"/>
      <c r="D29" s="78"/>
      <c r="E29" s="94" t="s">
        <v>26</v>
      </c>
      <c r="F29" s="176">
        <f t="shared" ref="F29:Q29" si="2">F25-F27</f>
        <v>19600000</v>
      </c>
      <c r="G29" s="176">
        <f t="shared" si="2"/>
        <v>20500000</v>
      </c>
      <c r="H29" s="176">
        <f t="shared" si="2"/>
        <v>21200000</v>
      </c>
      <c r="I29" s="176">
        <f t="shared" si="2"/>
        <v>19400000</v>
      </c>
      <c r="J29" s="176">
        <f t="shared" si="2"/>
        <v>19800000</v>
      </c>
      <c r="K29" s="176">
        <f t="shared" si="2"/>
        <v>22100000</v>
      </c>
      <c r="L29" s="176">
        <f t="shared" si="2"/>
        <v>22450000</v>
      </c>
      <c r="M29" s="176">
        <f t="shared" si="2"/>
        <v>22900000</v>
      </c>
      <c r="N29" s="176">
        <f t="shared" si="2"/>
        <v>23600000</v>
      </c>
      <c r="O29" s="176">
        <f t="shared" si="2"/>
        <v>23800000</v>
      </c>
      <c r="P29" s="176">
        <f t="shared" si="2"/>
        <v>24200000</v>
      </c>
      <c r="Q29" s="176">
        <f t="shared" si="2"/>
        <v>26500000</v>
      </c>
      <c r="R29" s="168">
        <f t="shared" si="1"/>
        <v>266050000</v>
      </c>
      <c r="S29" s="78"/>
      <c r="T29" s="101"/>
      <c r="U29" s="101"/>
    </row>
    <row r="30" ht="15.75" customHeight="1">
      <c r="A30" s="58"/>
      <c r="B30" s="58"/>
      <c r="C30" s="58"/>
      <c r="D30" s="58"/>
      <c r="E30" s="177"/>
      <c r="F30" s="178"/>
      <c r="G30" s="178"/>
      <c r="H30" s="178"/>
      <c r="I30" s="178"/>
      <c r="J30" s="178"/>
      <c r="K30" s="178"/>
      <c r="L30" s="178"/>
      <c r="M30" s="178"/>
      <c r="N30" s="178"/>
      <c r="O30" s="178"/>
      <c r="P30" s="178"/>
      <c r="Q30" s="178"/>
      <c r="R30" s="189"/>
      <c r="S30" s="101"/>
      <c r="T30" s="179">
        <v>0.01</v>
      </c>
      <c r="U30" s="179"/>
    </row>
  </sheetData>
  <mergeCells count="49">
    <mergeCell ref="C4:C5"/>
    <mergeCell ref="D4:D5"/>
    <mergeCell ref="D6:D7"/>
    <mergeCell ref="D8:D9"/>
    <mergeCell ref="D10:D11"/>
    <mergeCell ref="D12:D13"/>
    <mergeCell ref="D14:D15"/>
    <mergeCell ref="B4:B9"/>
    <mergeCell ref="C6:C7"/>
    <mergeCell ref="C8:C9"/>
    <mergeCell ref="B10:B15"/>
    <mergeCell ref="C10:C11"/>
    <mergeCell ref="C12:C13"/>
    <mergeCell ref="C22:C23"/>
    <mergeCell ref="B2:D2"/>
    <mergeCell ref="F2:H2"/>
    <mergeCell ref="I2:K2"/>
    <mergeCell ref="L2:N2"/>
    <mergeCell ref="O2:Q2"/>
    <mergeCell ref="B3:C3"/>
    <mergeCell ref="S4:S5"/>
    <mergeCell ref="C14:C15"/>
    <mergeCell ref="C16:C17"/>
    <mergeCell ref="D16:D17"/>
    <mergeCell ref="D18:D19"/>
    <mergeCell ref="C18:C19"/>
    <mergeCell ref="C20:C21"/>
    <mergeCell ref="D20:D21"/>
    <mergeCell ref="D22:D23"/>
    <mergeCell ref="D24:D25"/>
    <mergeCell ref="S20:S21"/>
    <mergeCell ref="S22:S23"/>
    <mergeCell ref="S24:S25"/>
    <mergeCell ref="S26:S27"/>
    <mergeCell ref="S28:S29"/>
    <mergeCell ref="S6:S7"/>
    <mergeCell ref="S8:S9"/>
    <mergeCell ref="S10:S11"/>
    <mergeCell ref="S12:S13"/>
    <mergeCell ref="S14:S15"/>
    <mergeCell ref="S16:S17"/>
    <mergeCell ref="S18:S19"/>
    <mergeCell ref="B16:B23"/>
    <mergeCell ref="B24:B29"/>
    <mergeCell ref="C24:C25"/>
    <mergeCell ref="C26:C27"/>
    <mergeCell ref="D26:D27"/>
    <mergeCell ref="C28:C29"/>
    <mergeCell ref="D28:D29"/>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outlineLevelCol="4"/>
  <cols>
    <col customWidth="1" min="1" max="1" width="5.63"/>
    <col customWidth="1" min="2" max="2" width="4.63"/>
    <col customWidth="1" min="3" max="3" width="19.25"/>
    <col customWidth="1" min="4" max="4" width="5.13"/>
    <col customWidth="1" min="5" max="28" width="9.13"/>
    <col customWidth="1" min="29" max="29" width="11.25"/>
    <col customWidth="1" min="30" max="30" width="9.63"/>
    <col customWidth="1" min="31" max="32" width="2.75"/>
  </cols>
  <sheetData>
    <row r="1" ht="15.75" customHeight="1">
      <c r="A1" s="58"/>
      <c r="B1" s="58"/>
      <c r="C1" s="58"/>
      <c r="D1" s="59"/>
      <c r="E1" s="208"/>
      <c r="F1" s="208"/>
      <c r="G1" s="208"/>
      <c r="H1" s="208"/>
      <c r="I1" s="208"/>
      <c r="J1" s="208"/>
      <c r="K1" s="208"/>
      <c r="L1" s="208"/>
      <c r="M1" s="208"/>
      <c r="N1" s="208"/>
      <c r="O1" s="208"/>
      <c r="P1" s="208"/>
      <c r="Q1" s="208"/>
      <c r="R1" s="208"/>
      <c r="S1" s="208"/>
      <c r="T1" s="208"/>
      <c r="U1" s="208"/>
      <c r="V1" s="208"/>
      <c r="W1" s="208"/>
      <c r="X1" s="208"/>
      <c r="Y1" s="208"/>
      <c r="Z1" s="208"/>
      <c r="AA1" s="208"/>
      <c r="AB1" s="208"/>
      <c r="AC1" s="209"/>
      <c r="AD1" s="210"/>
      <c r="AE1" s="64"/>
      <c r="AF1" s="64"/>
    </row>
    <row r="2" ht="15.75" customHeight="1">
      <c r="A2" s="65" t="s">
        <v>245</v>
      </c>
      <c r="B2" s="63"/>
      <c r="C2" s="66"/>
      <c r="D2" s="67"/>
      <c r="E2" s="211" t="s">
        <v>56</v>
      </c>
      <c r="F2" s="212"/>
      <c r="G2" s="212"/>
      <c r="H2" s="213"/>
      <c r="I2" s="214" t="s">
        <v>57</v>
      </c>
      <c r="J2" s="212"/>
      <c r="K2" s="212"/>
      <c r="L2" s="213"/>
      <c r="M2" s="214" t="s">
        <v>58</v>
      </c>
      <c r="N2" s="212"/>
      <c r="O2" s="212"/>
      <c r="P2" s="213"/>
      <c r="Q2" s="214" t="s">
        <v>59</v>
      </c>
      <c r="R2" s="212"/>
      <c r="S2" s="212"/>
      <c r="T2" s="213"/>
      <c r="U2" s="214" t="s">
        <v>61</v>
      </c>
      <c r="V2" s="212"/>
      <c r="W2" s="212"/>
      <c r="X2" s="213"/>
      <c r="Y2" s="214" t="s">
        <v>62</v>
      </c>
      <c r="Z2" s="212"/>
      <c r="AA2" s="212"/>
      <c r="AB2" s="213"/>
      <c r="AC2" s="69"/>
      <c r="AD2" s="71"/>
      <c r="AE2" s="64"/>
      <c r="AF2" s="64"/>
    </row>
    <row r="3" ht="15.75" customHeight="1">
      <c r="A3" s="72"/>
      <c r="B3" s="66"/>
      <c r="C3" s="75" t="s">
        <v>7</v>
      </c>
      <c r="D3" s="76"/>
      <c r="E3" s="215" t="s">
        <v>95</v>
      </c>
      <c r="F3" s="216" t="s">
        <v>96</v>
      </c>
      <c r="G3" s="216" t="s">
        <v>97</v>
      </c>
      <c r="H3" s="216" t="s">
        <v>98</v>
      </c>
      <c r="I3" s="215" t="s">
        <v>99</v>
      </c>
      <c r="J3" s="216" t="s">
        <v>100</v>
      </c>
      <c r="K3" s="216" t="s">
        <v>102</v>
      </c>
      <c r="L3" s="216" t="s">
        <v>103</v>
      </c>
      <c r="M3" s="215" t="s">
        <v>104</v>
      </c>
      <c r="N3" s="216" t="s">
        <v>105</v>
      </c>
      <c r="O3" s="216" t="s">
        <v>106</v>
      </c>
      <c r="P3" s="216" t="s">
        <v>107</v>
      </c>
      <c r="Q3" s="215" t="s">
        <v>108</v>
      </c>
      <c r="R3" s="216" t="s">
        <v>110</v>
      </c>
      <c r="S3" s="216" t="s">
        <v>111</v>
      </c>
      <c r="T3" s="216" t="s">
        <v>112</v>
      </c>
      <c r="U3" s="215" t="s">
        <v>113</v>
      </c>
      <c r="V3" s="216" t="s">
        <v>114</v>
      </c>
      <c r="W3" s="216" t="s">
        <v>115</v>
      </c>
      <c r="X3" s="216" t="s">
        <v>116</v>
      </c>
      <c r="Y3" s="215" t="s">
        <v>117</v>
      </c>
      <c r="Z3" s="216" t="s">
        <v>118</v>
      </c>
      <c r="AA3" s="216" t="s">
        <v>119</v>
      </c>
      <c r="AB3" s="216" t="s">
        <v>120</v>
      </c>
      <c r="AC3" s="79" t="s">
        <v>37</v>
      </c>
      <c r="AD3" s="85" t="s">
        <v>246</v>
      </c>
      <c r="AE3" s="58"/>
      <c r="AF3" s="58"/>
    </row>
    <row r="4" ht="15.75" customHeight="1">
      <c r="A4" s="88" t="s">
        <v>17</v>
      </c>
      <c r="B4" s="89">
        <v>1.0</v>
      </c>
      <c r="C4" s="92" t="s">
        <v>18</v>
      </c>
      <c r="D4" s="94" t="s">
        <v>19</v>
      </c>
      <c r="E4" s="217">
        <v>1750.0</v>
      </c>
      <c r="F4" s="217">
        <v>1750.0</v>
      </c>
      <c r="G4" s="217">
        <v>1750.0</v>
      </c>
      <c r="H4" s="217">
        <v>1750.0</v>
      </c>
      <c r="I4" s="217">
        <v>1750.0</v>
      </c>
      <c r="J4" s="217">
        <v>1750.0</v>
      </c>
      <c r="K4" s="217">
        <v>1750.0</v>
      </c>
      <c r="L4" s="217">
        <v>1750.0</v>
      </c>
      <c r="M4" s="217">
        <v>1750.0</v>
      </c>
      <c r="N4" s="217">
        <v>1750.0</v>
      </c>
      <c r="O4" s="217">
        <v>1750.0</v>
      </c>
      <c r="P4" s="217">
        <v>1750.0</v>
      </c>
      <c r="Q4" s="217">
        <v>1750.0</v>
      </c>
      <c r="R4" s="217">
        <v>1750.0</v>
      </c>
      <c r="S4" s="217">
        <v>1750.0</v>
      </c>
      <c r="T4" s="217">
        <v>1750.0</v>
      </c>
      <c r="U4" s="217">
        <v>1750.0</v>
      </c>
      <c r="V4" s="217">
        <v>1750.0</v>
      </c>
      <c r="W4" s="217">
        <v>1750.0</v>
      </c>
      <c r="X4" s="217">
        <v>1750.0</v>
      </c>
      <c r="Y4" s="217">
        <v>1750.0</v>
      </c>
      <c r="Z4" s="217">
        <v>1750.0</v>
      </c>
      <c r="AA4" s="217">
        <v>1750.0</v>
      </c>
      <c r="AB4" s="217">
        <v>1750.0</v>
      </c>
      <c r="AC4" s="218">
        <f t="shared" ref="AC4:AC29" si="1">SUM(E4:AB4)</f>
        <v>42000</v>
      </c>
      <c r="AD4" s="100">
        <f>IFERROR(AC5/AC4,"")</f>
        <v>0.9783571429</v>
      </c>
      <c r="AE4" s="101"/>
      <c r="AF4" s="101"/>
    </row>
    <row r="5" ht="15.75" customHeight="1">
      <c r="A5" s="82"/>
      <c r="B5" s="78"/>
      <c r="C5" s="78"/>
      <c r="D5" s="94" t="s">
        <v>26</v>
      </c>
      <c r="E5" s="219">
        <f>SUM('Kunlik metrika'!F5:L5)</f>
        <v>1656</v>
      </c>
      <c r="F5" s="220">
        <v>1660.0</v>
      </c>
      <c r="G5" s="220">
        <v>1700.0</v>
      </c>
      <c r="H5" s="220">
        <v>1680.0</v>
      </c>
      <c r="I5" s="220">
        <v>1690.0</v>
      </c>
      <c r="J5" s="220">
        <v>1700.0</v>
      </c>
      <c r="K5" s="220">
        <v>1750.0</v>
      </c>
      <c r="L5" s="220">
        <v>1760.0</v>
      </c>
      <c r="M5" s="220">
        <v>1740.0</v>
      </c>
      <c r="N5" s="220">
        <v>1720.0</v>
      </c>
      <c r="O5" s="220">
        <v>1780.0</v>
      </c>
      <c r="P5" s="220">
        <v>1740.0</v>
      </c>
      <c r="Q5" s="220">
        <v>1760.0</v>
      </c>
      <c r="R5" s="220">
        <v>1700.0</v>
      </c>
      <c r="S5" s="220">
        <v>1680.0</v>
      </c>
      <c r="T5" s="220">
        <v>1660.0</v>
      </c>
      <c r="U5" s="220">
        <v>1650.0</v>
      </c>
      <c r="V5" s="220">
        <v>1680.0</v>
      </c>
      <c r="W5" s="220">
        <v>1700.0</v>
      </c>
      <c r="X5" s="220">
        <v>1720.0</v>
      </c>
      <c r="Y5" s="220">
        <v>1730.0</v>
      </c>
      <c r="Z5" s="220">
        <v>1740.0</v>
      </c>
      <c r="AA5" s="220">
        <v>1745.0</v>
      </c>
      <c r="AB5" s="220">
        <v>1750.0</v>
      </c>
      <c r="AC5" s="218">
        <f t="shared" si="1"/>
        <v>41091</v>
      </c>
      <c r="AD5" s="78"/>
      <c r="AE5" s="101"/>
      <c r="AF5" s="101"/>
    </row>
    <row r="6" ht="15.75" customHeight="1">
      <c r="A6" s="82"/>
      <c r="B6" s="89">
        <v>2.0</v>
      </c>
      <c r="C6" s="111" t="s">
        <v>40</v>
      </c>
      <c r="D6" s="94" t="s">
        <v>19</v>
      </c>
      <c r="E6" s="217">
        <v>350.0</v>
      </c>
      <c r="F6" s="217">
        <v>350.0</v>
      </c>
      <c r="G6" s="217">
        <v>350.0</v>
      </c>
      <c r="H6" s="217">
        <v>350.0</v>
      </c>
      <c r="I6" s="217">
        <v>350.0</v>
      </c>
      <c r="J6" s="217">
        <v>350.0</v>
      </c>
      <c r="K6" s="217">
        <v>350.0</v>
      </c>
      <c r="L6" s="217">
        <v>350.0</v>
      </c>
      <c r="M6" s="217">
        <v>350.0</v>
      </c>
      <c r="N6" s="217">
        <v>350.0</v>
      </c>
      <c r="O6" s="217">
        <v>350.0</v>
      </c>
      <c r="P6" s="217">
        <v>350.0</v>
      </c>
      <c r="Q6" s="217">
        <v>350.0</v>
      </c>
      <c r="R6" s="217">
        <v>350.0</v>
      </c>
      <c r="S6" s="217">
        <v>350.0</v>
      </c>
      <c r="T6" s="217">
        <v>350.0</v>
      </c>
      <c r="U6" s="217">
        <v>350.0</v>
      </c>
      <c r="V6" s="217">
        <v>350.0</v>
      </c>
      <c r="W6" s="217">
        <v>350.0</v>
      </c>
      <c r="X6" s="217">
        <v>350.0</v>
      </c>
      <c r="Y6" s="217">
        <v>350.0</v>
      </c>
      <c r="Z6" s="217">
        <v>350.0</v>
      </c>
      <c r="AA6" s="217">
        <v>350.0</v>
      </c>
      <c r="AB6" s="217">
        <v>350.0</v>
      </c>
      <c r="AC6" s="218">
        <f t="shared" si="1"/>
        <v>8400</v>
      </c>
      <c r="AD6" s="100">
        <f>IFERROR(AC7/AC6,"")</f>
        <v>0.9735714286</v>
      </c>
      <c r="AE6" s="101"/>
      <c r="AF6" s="101"/>
    </row>
    <row r="7" ht="15.75" customHeight="1">
      <c r="A7" s="82"/>
      <c r="B7" s="78"/>
      <c r="D7" s="94" t="s">
        <v>26</v>
      </c>
      <c r="E7" s="219">
        <v>330.0</v>
      </c>
      <c r="F7" s="220">
        <v>345.0</v>
      </c>
      <c r="G7" s="220">
        <v>340.0</v>
      </c>
      <c r="H7" s="220">
        <v>350.0</v>
      </c>
      <c r="I7" s="220">
        <v>330.0</v>
      </c>
      <c r="J7" s="220">
        <v>320.0</v>
      </c>
      <c r="K7" s="220">
        <v>325.0</v>
      </c>
      <c r="L7" s="220">
        <v>360.0</v>
      </c>
      <c r="M7" s="220">
        <v>324.0</v>
      </c>
      <c r="N7" s="220">
        <v>355.0</v>
      </c>
      <c r="O7" s="220">
        <v>345.0</v>
      </c>
      <c r="P7" s="220">
        <v>350.0</v>
      </c>
      <c r="Q7" s="220">
        <v>324.0</v>
      </c>
      <c r="R7" s="220">
        <v>335.0</v>
      </c>
      <c r="S7" s="220">
        <v>355.0</v>
      </c>
      <c r="T7" s="220">
        <v>340.0</v>
      </c>
      <c r="U7" s="220">
        <v>342.0</v>
      </c>
      <c r="V7" s="220">
        <v>352.0</v>
      </c>
      <c r="W7" s="220">
        <v>328.0</v>
      </c>
      <c r="X7" s="220">
        <v>339.0</v>
      </c>
      <c r="Y7" s="220">
        <v>340.0</v>
      </c>
      <c r="Z7" s="220">
        <v>345.0</v>
      </c>
      <c r="AA7" s="220">
        <v>354.0</v>
      </c>
      <c r="AB7" s="220">
        <v>350.0</v>
      </c>
      <c r="AC7" s="218">
        <f t="shared" si="1"/>
        <v>8178</v>
      </c>
      <c r="AD7" s="78"/>
      <c r="AE7" s="101"/>
      <c r="AF7" s="101"/>
    </row>
    <row r="8" ht="15.75" customHeight="1">
      <c r="A8" s="82"/>
      <c r="B8" s="89">
        <v>3.0</v>
      </c>
      <c r="C8" s="92" t="s">
        <v>42</v>
      </c>
      <c r="D8" s="94" t="s">
        <v>19</v>
      </c>
      <c r="E8" s="222">
        <v>70.0</v>
      </c>
      <c r="F8" s="223">
        <v>70.0</v>
      </c>
      <c r="G8" s="223">
        <v>70.0</v>
      </c>
      <c r="H8" s="223">
        <v>70.0</v>
      </c>
      <c r="I8" s="223">
        <v>70.0</v>
      </c>
      <c r="J8" s="223">
        <v>70.0</v>
      </c>
      <c r="K8" s="223">
        <v>70.0</v>
      </c>
      <c r="L8" s="223">
        <v>70.0</v>
      </c>
      <c r="M8" s="223">
        <v>70.0</v>
      </c>
      <c r="N8" s="223">
        <v>70.0</v>
      </c>
      <c r="O8" s="223">
        <v>70.0</v>
      </c>
      <c r="P8" s="223">
        <v>70.0</v>
      </c>
      <c r="Q8" s="223">
        <v>70.0</v>
      </c>
      <c r="R8" s="223">
        <v>70.0</v>
      </c>
      <c r="S8" s="223">
        <v>70.0</v>
      </c>
      <c r="T8" s="223">
        <v>70.0</v>
      </c>
      <c r="U8" s="223">
        <v>70.0</v>
      </c>
      <c r="V8" s="223">
        <v>70.0</v>
      </c>
      <c r="W8" s="223">
        <v>70.0</v>
      </c>
      <c r="X8" s="223">
        <v>70.0</v>
      </c>
      <c r="Y8" s="223">
        <v>70.0</v>
      </c>
      <c r="Z8" s="223">
        <v>70.0</v>
      </c>
      <c r="AA8" s="223">
        <v>70.0</v>
      </c>
      <c r="AB8" s="223">
        <v>70.0</v>
      </c>
      <c r="AC8" s="218">
        <f t="shared" si="1"/>
        <v>1680</v>
      </c>
      <c r="AD8" s="100">
        <f>IFERROR(AC9/AC8,"")</f>
        <v>0.8797619048</v>
      </c>
      <c r="AE8" s="101"/>
      <c r="AF8" s="101"/>
    </row>
    <row r="9" ht="15.75" customHeight="1">
      <c r="A9" s="78"/>
      <c r="B9" s="78"/>
      <c r="C9" s="78"/>
      <c r="D9" s="94" t="s">
        <v>26</v>
      </c>
      <c r="E9" s="219">
        <v>65.0</v>
      </c>
      <c r="F9" s="220">
        <v>60.0</v>
      </c>
      <c r="G9" s="220">
        <v>55.0</v>
      </c>
      <c r="H9" s="220">
        <v>68.0</v>
      </c>
      <c r="I9" s="220">
        <v>70.0</v>
      </c>
      <c r="J9" s="220">
        <v>58.0</v>
      </c>
      <c r="K9" s="220">
        <v>72.0</v>
      </c>
      <c r="L9" s="220">
        <v>74.0</v>
      </c>
      <c r="M9" s="220">
        <v>68.0</v>
      </c>
      <c r="N9" s="220">
        <v>65.0</v>
      </c>
      <c r="O9" s="220">
        <v>64.0</v>
      </c>
      <c r="P9" s="220">
        <v>50.0</v>
      </c>
      <c r="Q9" s="220">
        <v>55.0</v>
      </c>
      <c r="R9" s="220">
        <v>55.0</v>
      </c>
      <c r="S9" s="220">
        <v>50.0</v>
      </c>
      <c r="T9" s="220">
        <v>54.0</v>
      </c>
      <c r="U9" s="220">
        <v>56.0</v>
      </c>
      <c r="V9" s="220">
        <v>58.0</v>
      </c>
      <c r="W9" s="220">
        <v>59.0</v>
      </c>
      <c r="X9" s="220">
        <v>62.0</v>
      </c>
      <c r="Y9" s="220">
        <v>63.0</v>
      </c>
      <c r="Z9" s="220">
        <v>64.0</v>
      </c>
      <c r="AA9" s="220">
        <v>65.0</v>
      </c>
      <c r="AB9" s="220">
        <v>68.0</v>
      </c>
      <c r="AC9" s="218">
        <f t="shared" si="1"/>
        <v>1478</v>
      </c>
      <c r="AD9" s="78"/>
      <c r="AE9" s="101"/>
      <c r="AF9" s="101"/>
    </row>
    <row r="10" ht="15.75" customHeight="1">
      <c r="A10" s="88" t="s">
        <v>44</v>
      </c>
      <c r="B10" s="89">
        <v>1.0</v>
      </c>
      <c r="C10" s="92" t="s">
        <v>46</v>
      </c>
      <c r="D10" s="94" t="s">
        <v>19</v>
      </c>
      <c r="E10" s="217">
        <v>49.0</v>
      </c>
      <c r="F10" s="217">
        <v>49.0</v>
      </c>
      <c r="G10" s="217">
        <v>49.0</v>
      </c>
      <c r="H10" s="217">
        <v>49.0</v>
      </c>
      <c r="I10" s="217">
        <v>49.0</v>
      </c>
      <c r="J10" s="217">
        <v>49.0</v>
      </c>
      <c r="K10" s="217">
        <v>49.0</v>
      </c>
      <c r="L10" s="217">
        <v>49.0</v>
      </c>
      <c r="M10" s="217">
        <v>49.0</v>
      </c>
      <c r="N10" s="217">
        <v>49.0</v>
      </c>
      <c r="O10" s="217">
        <v>49.0</v>
      </c>
      <c r="P10" s="217">
        <v>49.0</v>
      </c>
      <c r="Q10" s="217">
        <v>49.0</v>
      </c>
      <c r="R10" s="217">
        <v>49.0</v>
      </c>
      <c r="S10" s="217">
        <v>49.0</v>
      </c>
      <c r="T10" s="217">
        <v>49.0</v>
      </c>
      <c r="U10" s="217">
        <v>49.0</v>
      </c>
      <c r="V10" s="217">
        <v>49.0</v>
      </c>
      <c r="W10" s="217">
        <v>49.0</v>
      </c>
      <c r="X10" s="217">
        <v>49.0</v>
      </c>
      <c r="Y10" s="217">
        <v>49.0</v>
      </c>
      <c r="Z10" s="217">
        <v>49.0</v>
      </c>
      <c r="AA10" s="217">
        <v>49.0</v>
      </c>
      <c r="AB10" s="217">
        <v>49.0</v>
      </c>
      <c r="AC10" s="218">
        <f t="shared" si="1"/>
        <v>1176</v>
      </c>
      <c r="AD10" s="100">
        <f>IFERROR(AC11/AC10,"")</f>
        <v>0.8698979592</v>
      </c>
      <c r="AE10" s="101"/>
      <c r="AF10" s="101"/>
    </row>
    <row r="11" ht="15.75" customHeight="1">
      <c r="A11" s="82"/>
      <c r="B11" s="78"/>
      <c r="C11" s="78"/>
      <c r="D11" s="94" t="s">
        <v>26</v>
      </c>
      <c r="E11" s="219">
        <v>45.0</v>
      </c>
      <c r="F11" s="220">
        <v>46.0</v>
      </c>
      <c r="G11" s="220">
        <v>42.0</v>
      </c>
      <c r="H11" s="220">
        <v>40.0</v>
      </c>
      <c r="I11" s="220">
        <v>44.0</v>
      </c>
      <c r="J11" s="220">
        <v>41.0</v>
      </c>
      <c r="K11" s="220">
        <v>35.0</v>
      </c>
      <c r="L11" s="220">
        <v>38.0</v>
      </c>
      <c r="M11" s="220">
        <v>36.0</v>
      </c>
      <c r="N11" s="220">
        <v>34.0</v>
      </c>
      <c r="O11" s="220">
        <v>37.0</v>
      </c>
      <c r="P11" s="220">
        <v>38.0</v>
      </c>
      <c r="Q11" s="220">
        <v>40.0</v>
      </c>
      <c r="R11" s="220">
        <v>42.0</v>
      </c>
      <c r="S11" s="220">
        <v>47.0</v>
      </c>
      <c r="T11" s="220">
        <v>48.0</v>
      </c>
      <c r="U11" s="220">
        <v>49.0</v>
      </c>
      <c r="V11" s="220">
        <v>50.0</v>
      </c>
      <c r="W11" s="220">
        <v>52.0</v>
      </c>
      <c r="X11" s="220">
        <v>45.0</v>
      </c>
      <c r="Y11" s="220">
        <v>44.0</v>
      </c>
      <c r="Z11" s="220">
        <v>43.0</v>
      </c>
      <c r="AA11" s="220">
        <v>42.0</v>
      </c>
      <c r="AB11" s="220">
        <v>45.0</v>
      </c>
      <c r="AC11" s="218">
        <f t="shared" si="1"/>
        <v>1023</v>
      </c>
      <c r="AD11" s="78"/>
      <c r="AE11" s="101"/>
      <c r="AF11" s="101"/>
    </row>
    <row r="12" ht="15.75" customHeight="1">
      <c r="A12" s="82"/>
      <c r="B12" s="89">
        <v>2.0</v>
      </c>
      <c r="C12" s="92" t="s">
        <v>52</v>
      </c>
      <c r="D12" s="94" t="s">
        <v>19</v>
      </c>
      <c r="E12" s="217">
        <v>35.0</v>
      </c>
      <c r="F12" s="217">
        <v>35.0</v>
      </c>
      <c r="G12" s="217">
        <v>35.0</v>
      </c>
      <c r="H12" s="217">
        <v>35.0</v>
      </c>
      <c r="I12" s="217">
        <v>35.0</v>
      </c>
      <c r="J12" s="217">
        <v>35.0</v>
      </c>
      <c r="K12" s="217">
        <v>35.0</v>
      </c>
      <c r="L12" s="217">
        <v>35.0</v>
      </c>
      <c r="M12" s="217">
        <v>35.0</v>
      </c>
      <c r="N12" s="217">
        <v>35.0</v>
      </c>
      <c r="O12" s="217">
        <v>35.0</v>
      </c>
      <c r="P12" s="217">
        <v>35.0</v>
      </c>
      <c r="Q12" s="217">
        <v>35.0</v>
      </c>
      <c r="R12" s="217">
        <v>35.0</v>
      </c>
      <c r="S12" s="217">
        <v>35.0</v>
      </c>
      <c r="T12" s="217">
        <v>35.0</v>
      </c>
      <c r="U12" s="217">
        <v>35.0</v>
      </c>
      <c r="V12" s="217">
        <v>35.0</v>
      </c>
      <c r="W12" s="217">
        <v>35.0</v>
      </c>
      <c r="X12" s="217">
        <v>35.0</v>
      </c>
      <c r="Y12" s="217">
        <v>35.0</v>
      </c>
      <c r="Z12" s="217">
        <v>35.0</v>
      </c>
      <c r="AA12" s="217">
        <v>35.0</v>
      </c>
      <c r="AB12" s="217">
        <v>35.0</v>
      </c>
      <c r="AC12" s="218">
        <f t="shared" si="1"/>
        <v>840</v>
      </c>
      <c r="AD12" s="100">
        <f>IFERROR(AC13/AC12,"")</f>
        <v>0.9404761905</v>
      </c>
      <c r="AE12" s="101"/>
      <c r="AF12" s="101"/>
    </row>
    <row r="13" ht="15.75" customHeight="1">
      <c r="A13" s="82"/>
      <c r="B13" s="78"/>
      <c r="C13" s="78"/>
      <c r="D13" s="94" t="s">
        <v>26</v>
      </c>
      <c r="E13" s="219">
        <v>30.0</v>
      </c>
      <c r="F13" s="220">
        <v>32.0</v>
      </c>
      <c r="G13" s="220">
        <v>34.0</v>
      </c>
      <c r="H13" s="220">
        <v>35.0</v>
      </c>
      <c r="I13" s="220">
        <v>30.0</v>
      </c>
      <c r="J13" s="220">
        <v>32.0</v>
      </c>
      <c r="K13" s="220">
        <v>28.0</v>
      </c>
      <c r="L13" s="220">
        <v>29.0</v>
      </c>
      <c r="M13" s="220">
        <v>33.0</v>
      </c>
      <c r="N13" s="220">
        <v>35.0</v>
      </c>
      <c r="O13" s="220">
        <v>30.0</v>
      </c>
      <c r="P13" s="220">
        <v>34.0</v>
      </c>
      <c r="Q13" s="220">
        <v>32.0</v>
      </c>
      <c r="R13" s="220">
        <v>31.0</v>
      </c>
      <c r="S13" s="220">
        <v>36.0</v>
      </c>
      <c r="T13" s="220">
        <v>34.0</v>
      </c>
      <c r="U13" s="220">
        <v>29.0</v>
      </c>
      <c r="V13" s="220">
        <v>28.0</v>
      </c>
      <c r="W13" s="220">
        <v>36.0</v>
      </c>
      <c r="X13" s="220">
        <v>34.0</v>
      </c>
      <c r="Y13" s="220">
        <v>38.0</v>
      </c>
      <c r="Z13" s="220">
        <v>40.0</v>
      </c>
      <c r="AA13" s="220">
        <v>36.0</v>
      </c>
      <c r="AB13" s="220">
        <v>34.0</v>
      </c>
      <c r="AC13" s="218">
        <f t="shared" si="1"/>
        <v>790</v>
      </c>
      <c r="AD13" s="78"/>
      <c r="AE13" s="101"/>
      <c r="AF13" s="101"/>
    </row>
    <row r="14" ht="15.75" customHeight="1">
      <c r="A14" s="82"/>
      <c r="B14" s="89">
        <v>3.0</v>
      </c>
      <c r="C14" s="92" t="s">
        <v>53</v>
      </c>
      <c r="D14" s="94" t="s">
        <v>19</v>
      </c>
      <c r="E14" s="222">
        <v>14.0</v>
      </c>
      <c r="F14" s="223">
        <v>14.0</v>
      </c>
      <c r="G14" s="223">
        <v>14.0</v>
      </c>
      <c r="H14" s="223">
        <v>14.0</v>
      </c>
      <c r="I14" s="223">
        <v>14.0</v>
      </c>
      <c r="J14" s="223">
        <v>14.0</v>
      </c>
      <c r="K14" s="223">
        <v>14.0</v>
      </c>
      <c r="L14" s="223">
        <v>14.0</v>
      </c>
      <c r="M14" s="223">
        <v>14.0</v>
      </c>
      <c r="N14" s="223">
        <v>14.0</v>
      </c>
      <c r="O14" s="223">
        <v>14.0</v>
      </c>
      <c r="P14" s="223">
        <v>14.0</v>
      </c>
      <c r="Q14" s="223">
        <v>14.0</v>
      </c>
      <c r="R14" s="223">
        <v>14.0</v>
      </c>
      <c r="S14" s="223">
        <v>14.0</v>
      </c>
      <c r="T14" s="223">
        <v>14.0</v>
      </c>
      <c r="U14" s="223">
        <v>14.0</v>
      </c>
      <c r="V14" s="223">
        <v>14.0</v>
      </c>
      <c r="W14" s="223">
        <v>14.0</v>
      </c>
      <c r="X14" s="223">
        <v>14.0</v>
      </c>
      <c r="Y14" s="223">
        <v>14.0</v>
      </c>
      <c r="Z14" s="223">
        <v>14.0</v>
      </c>
      <c r="AA14" s="223">
        <v>14.0</v>
      </c>
      <c r="AB14" s="223">
        <v>14.0</v>
      </c>
      <c r="AC14" s="218">
        <f t="shared" si="1"/>
        <v>336</v>
      </c>
      <c r="AD14" s="100">
        <f>IFERROR(AC15/AC14,"")</f>
        <v>0.8571428571</v>
      </c>
      <c r="AE14" s="101"/>
      <c r="AF14" s="101"/>
    </row>
    <row r="15" ht="15.75" customHeight="1">
      <c r="A15" s="78"/>
      <c r="B15" s="78"/>
      <c r="C15" s="78"/>
      <c r="D15" s="94" t="s">
        <v>26</v>
      </c>
      <c r="E15" s="219">
        <v>12.0</v>
      </c>
      <c r="F15" s="220">
        <v>14.0</v>
      </c>
      <c r="G15" s="220">
        <v>13.0</v>
      </c>
      <c r="H15" s="220">
        <v>15.0</v>
      </c>
      <c r="I15" s="220">
        <v>10.0</v>
      </c>
      <c r="J15" s="220">
        <v>12.0</v>
      </c>
      <c r="K15" s="220">
        <v>11.0</v>
      </c>
      <c r="L15" s="220">
        <v>13.0</v>
      </c>
      <c r="M15" s="220">
        <v>9.0</v>
      </c>
      <c r="N15" s="220">
        <v>10.0</v>
      </c>
      <c r="O15" s="220">
        <v>9.0</v>
      </c>
      <c r="P15" s="220">
        <v>12.0</v>
      </c>
      <c r="Q15" s="220">
        <v>11.0</v>
      </c>
      <c r="R15" s="220">
        <v>14.0</v>
      </c>
      <c r="S15" s="220">
        <v>15.0</v>
      </c>
      <c r="T15" s="220">
        <v>13.0</v>
      </c>
      <c r="U15" s="220">
        <v>12.0</v>
      </c>
      <c r="V15" s="220">
        <v>14.0</v>
      </c>
      <c r="W15" s="220">
        <v>13.0</v>
      </c>
      <c r="X15" s="220">
        <v>12.0</v>
      </c>
      <c r="Y15" s="220">
        <v>13.0</v>
      </c>
      <c r="Z15" s="220">
        <v>10.0</v>
      </c>
      <c r="AA15" s="220">
        <v>12.0</v>
      </c>
      <c r="AB15" s="220">
        <v>9.0</v>
      </c>
      <c r="AC15" s="218">
        <f t="shared" si="1"/>
        <v>288</v>
      </c>
      <c r="AD15" s="78"/>
      <c r="AE15" s="101"/>
      <c r="AF15" s="101"/>
    </row>
    <row r="16" ht="15.75" customHeight="1">
      <c r="A16" s="88" t="s">
        <v>54</v>
      </c>
      <c r="B16" s="89">
        <v>1.0</v>
      </c>
      <c r="C16" s="92" t="s">
        <v>55</v>
      </c>
      <c r="D16" s="94" t="s">
        <v>19</v>
      </c>
      <c r="E16" s="217">
        <v>42.0</v>
      </c>
      <c r="F16" s="217">
        <v>42.0</v>
      </c>
      <c r="G16" s="217">
        <v>42.0</v>
      </c>
      <c r="H16" s="217">
        <v>42.0</v>
      </c>
      <c r="I16" s="217">
        <v>42.0</v>
      </c>
      <c r="J16" s="217">
        <v>42.0</v>
      </c>
      <c r="K16" s="217">
        <v>42.0</v>
      </c>
      <c r="L16" s="217">
        <v>42.0</v>
      </c>
      <c r="M16" s="217">
        <v>42.0</v>
      </c>
      <c r="N16" s="217">
        <v>42.0</v>
      </c>
      <c r="O16" s="217">
        <v>42.0</v>
      </c>
      <c r="P16" s="217">
        <v>42.0</v>
      </c>
      <c r="Q16" s="217">
        <v>42.0</v>
      </c>
      <c r="R16" s="217">
        <v>42.0</v>
      </c>
      <c r="S16" s="217">
        <v>42.0</v>
      </c>
      <c r="T16" s="217">
        <v>42.0</v>
      </c>
      <c r="U16" s="217">
        <v>42.0</v>
      </c>
      <c r="V16" s="217">
        <v>42.0</v>
      </c>
      <c r="W16" s="217">
        <v>42.0</v>
      </c>
      <c r="X16" s="217">
        <v>42.0</v>
      </c>
      <c r="Y16" s="217">
        <v>42.0</v>
      </c>
      <c r="Z16" s="217">
        <v>42.0</v>
      </c>
      <c r="AA16" s="217">
        <v>42.0</v>
      </c>
      <c r="AB16" s="217">
        <v>42.0</v>
      </c>
      <c r="AC16" s="218">
        <f t="shared" si="1"/>
        <v>1008</v>
      </c>
      <c r="AD16" s="100">
        <f>IFERROR(AC17/AC16,"")</f>
        <v>0.9067460317</v>
      </c>
      <c r="AE16" s="101"/>
      <c r="AF16" s="101"/>
    </row>
    <row r="17" ht="15.75" customHeight="1">
      <c r="A17" s="82"/>
      <c r="B17" s="78"/>
      <c r="C17" s="78"/>
      <c r="D17" s="94" t="s">
        <v>26</v>
      </c>
      <c r="E17" s="219">
        <v>38.0</v>
      </c>
      <c r="F17" s="220">
        <v>36.0</v>
      </c>
      <c r="G17" s="220">
        <v>35.0</v>
      </c>
      <c r="H17" s="220">
        <v>39.0</v>
      </c>
      <c r="I17" s="220">
        <v>40.0</v>
      </c>
      <c r="J17" s="220">
        <v>41.0</v>
      </c>
      <c r="K17" s="220">
        <v>42.0</v>
      </c>
      <c r="L17" s="220">
        <v>40.0</v>
      </c>
      <c r="M17" s="220">
        <v>44.0</v>
      </c>
      <c r="N17" s="220">
        <v>39.0</v>
      </c>
      <c r="O17" s="220">
        <v>38.0</v>
      </c>
      <c r="P17" s="220">
        <v>34.0</v>
      </c>
      <c r="Q17" s="220">
        <v>36.0</v>
      </c>
      <c r="R17" s="220">
        <v>44.0</v>
      </c>
      <c r="S17" s="220">
        <v>40.0</v>
      </c>
      <c r="T17" s="220">
        <v>41.0</v>
      </c>
      <c r="U17" s="220">
        <v>40.0</v>
      </c>
      <c r="V17" s="220">
        <v>43.0</v>
      </c>
      <c r="W17" s="220">
        <v>37.0</v>
      </c>
      <c r="X17" s="220">
        <v>35.0</v>
      </c>
      <c r="Y17" s="220">
        <v>36.0</v>
      </c>
      <c r="Z17" s="220">
        <v>34.0</v>
      </c>
      <c r="AA17" s="220">
        <v>32.0</v>
      </c>
      <c r="AB17" s="220">
        <v>30.0</v>
      </c>
      <c r="AC17" s="218">
        <f t="shared" si="1"/>
        <v>914</v>
      </c>
      <c r="AD17" s="78"/>
      <c r="AE17" s="101"/>
      <c r="AF17" s="101"/>
    </row>
    <row r="18" ht="15.75" customHeight="1">
      <c r="A18" s="82"/>
      <c r="B18" s="89">
        <v>2.0</v>
      </c>
      <c r="C18" s="146" t="s">
        <v>60</v>
      </c>
      <c r="D18" s="94" t="s">
        <v>19</v>
      </c>
      <c r="E18" s="217">
        <v>28.0</v>
      </c>
      <c r="F18" s="217">
        <v>28.0</v>
      </c>
      <c r="G18" s="217">
        <v>28.0</v>
      </c>
      <c r="H18" s="217">
        <v>28.0</v>
      </c>
      <c r="I18" s="217">
        <v>28.0</v>
      </c>
      <c r="J18" s="217">
        <v>28.0</v>
      </c>
      <c r="K18" s="217">
        <v>28.0</v>
      </c>
      <c r="L18" s="217">
        <v>28.0</v>
      </c>
      <c r="M18" s="217">
        <v>28.0</v>
      </c>
      <c r="N18" s="217">
        <v>28.0</v>
      </c>
      <c r="O18" s="217">
        <v>28.0</v>
      </c>
      <c r="P18" s="217">
        <v>28.0</v>
      </c>
      <c r="Q18" s="217">
        <v>28.0</v>
      </c>
      <c r="R18" s="217">
        <v>28.0</v>
      </c>
      <c r="S18" s="217">
        <v>28.0</v>
      </c>
      <c r="T18" s="217">
        <v>28.0</v>
      </c>
      <c r="U18" s="217">
        <v>28.0</v>
      </c>
      <c r="V18" s="217">
        <v>28.0</v>
      </c>
      <c r="W18" s="217">
        <v>28.0</v>
      </c>
      <c r="X18" s="217">
        <v>28.0</v>
      </c>
      <c r="Y18" s="217">
        <v>28.0</v>
      </c>
      <c r="Z18" s="217">
        <v>28.0</v>
      </c>
      <c r="AA18" s="217">
        <v>28.0</v>
      </c>
      <c r="AB18" s="217">
        <v>28.0</v>
      </c>
      <c r="AC18" s="218">
        <f t="shared" si="1"/>
        <v>672</v>
      </c>
      <c r="AD18" s="100">
        <f>IFERROR(AC19/AC18,"")</f>
        <v>0.8630952381</v>
      </c>
      <c r="AE18" s="101"/>
      <c r="AF18" s="101"/>
    </row>
    <row r="19" ht="15.75" customHeight="1">
      <c r="A19" s="82"/>
      <c r="B19" s="78"/>
      <c r="C19" s="78"/>
      <c r="D19" s="94" t="s">
        <v>26</v>
      </c>
      <c r="E19" s="219">
        <v>20.0</v>
      </c>
      <c r="F19" s="220">
        <v>22.0</v>
      </c>
      <c r="G19" s="220">
        <v>24.0</v>
      </c>
      <c r="H19" s="220">
        <v>23.0</v>
      </c>
      <c r="I19" s="220">
        <v>25.0</v>
      </c>
      <c r="J19" s="220">
        <v>26.0</v>
      </c>
      <c r="K19" s="220">
        <v>27.0</v>
      </c>
      <c r="L19" s="220">
        <v>28.0</v>
      </c>
      <c r="M19" s="220">
        <v>25.0</v>
      </c>
      <c r="N19" s="220">
        <v>24.0</v>
      </c>
      <c r="O19" s="220">
        <v>23.0</v>
      </c>
      <c r="P19" s="220">
        <v>26.0</v>
      </c>
      <c r="Q19" s="220">
        <v>24.0</v>
      </c>
      <c r="R19" s="220">
        <v>27.0</v>
      </c>
      <c r="S19" s="220">
        <v>22.0</v>
      </c>
      <c r="T19" s="220">
        <v>21.0</v>
      </c>
      <c r="U19" s="220">
        <v>20.0</v>
      </c>
      <c r="V19" s="220">
        <v>24.0</v>
      </c>
      <c r="W19" s="220">
        <v>23.0</v>
      </c>
      <c r="X19" s="220">
        <v>25.0</v>
      </c>
      <c r="Y19" s="220">
        <v>23.0</v>
      </c>
      <c r="Z19" s="220">
        <v>24.0</v>
      </c>
      <c r="AA19" s="220">
        <v>28.0</v>
      </c>
      <c r="AB19" s="220">
        <v>26.0</v>
      </c>
      <c r="AC19" s="218">
        <f t="shared" si="1"/>
        <v>580</v>
      </c>
      <c r="AD19" s="78"/>
      <c r="AE19" s="101"/>
      <c r="AF19" s="101"/>
    </row>
    <row r="20" ht="15.75" customHeight="1">
      <c r="A20" s="82"/>
      <c r="B20" s="89">
        <v>3.0</v>
      </c>
      <c r="C20" s="92" t="s">
        <v>74</v>
      </c>
      <c r="D20" s="94" t="s">
        <v>19</v>
      </c>
      <c r="E20" s="217">
        <v>14.0</v>
      </c>
      <c r="F20" s="217">
        <v>14.0</v>
      </c>
      <c r="G20" s="217">
        <v>14.0</v>
      </c>
      <c r="H20" s="217">
        <v>14.0</v>
      </c>
      <c r="I20" s="217">
        <v>14.0</v>
      </c>
      <c r="J20" s="217">
        <v>14.0</v>
      </c>
      <c r="K20" s="217">
        <v>14.0</v>
      </c>
      <c r="L20" s="217">
        <v>14.0</v>
      </c>
      <c r="M20" s="217">
        <v>14.0</v>
      </c>
      <c r="N20" s="217">
        <v>14.0</v>
      </c>
      <c r="O20" s="217">
        <v>14.0</v>
      </c>
      <c r="P20" s="217">
        <v>14.0</v>
      </c>
      <c r="Q20" s="217">
        <v>14.0</v>
      </c>
      <c r="R20" s="217">
        <v>14.0</v>
      </c>
      <c r="S20" s="217">
        <v>14.0</v>
      </c>
      <c r="T20" s="217">
        <v>14.0</v>
      </c>
      <c r="U20" s="217">
        <v>14.0</v>
      </c>
      <c r="V20" s="217">
        <v>14.0</v>
      </c>
      <c r="W20" s="217">
        <v>14.0</v>
      </c>
      <c r="X20" s="217">
        <v>14.0</v>
      </c>
      <c r="Y20" s="217">
        <v>14.0</v>
      </c>
      <c r="Z20" s="217">
        <v>14.0</v>
      </c>
      <c r="AA20" s="217">
        <v>14.0</v>
      </c>
      <c r="AB20" s="217">
        <v>14.0</v>
      </c>
      <c r="AC20" s="218">
        <f t="shared" si="1"/>
        <v>336</v>
      </c>
      <c r="AD20" s="100">
        <f>IFERROR(AC21/AC20,"")</f>
        <v>0.8273809524</v>
      </c>
      <c r="AE20" s="101"/>
      <c r="AF20" s="101"/>
    </row>
    <row r="21" ht="15.75" customHeight="1">
      <c r="A21" s="82"/>
      <c r="B21" s="78"/>
      <c r="C21" s="78"/>
      <c r="D21" s="94" t="s">
        <v>26</v>
      </c>
      <c r="E21" s="219">
        <v>12.0</v>
      </c>
      <c r="F21" s="220">
        <v>13.0</v>
      </c>
      <c r="G21" s="220">
        <v>14.0</v>
      </c>
      <c r="H21" s="220">
        <v>12.0</v>
      </c>
      <c r="I21" s="220">
        <v>14.0</v>
      </c>
      <c r="J21" s="220">
        <v>13.0</v>
      </c>
      <c r="K21" s="220">
        <v>12.0</v>
      </c>
      <c r="L21" s="220">
        <v>11.0</v>
      </c>
      <c r="M21" s="220">
        <v>10.0</v>
      </c>
      <c r="N21" s="220">
        <v>14.0</v>
      </c>
      <c r="O21" s="220">
        <v>15.0</v>
      </c>
      <c r="P21" s="220">
        <v>11.0</v>
      </c>
      <c r="Q21" s="220">
        <v>14.0</v>
      </c>
      <c r="R21" s="220">
        <v>12.0</v>
      </c>
      <c r="S21" s="220">
        <v>13.0</v>
      </c>
      <c r="T21" s="220">
        <v>9.0</v>
      </c>
      <c r="U21" s="220">
        <v>8.0</v>
      </c>
      <c r="V21" s="220">
        <v>5.0</v>
      </c>
      <c r="W21" s="220">
        <v>10.0</v>
      </c>
      <c r="X21" s="220">
        <v>11.0</v>
      </c>
      <c r="Y21" s="220">
        <v>11.0</v>
      </c>
      <c r="Z21" s="220">
        <v>12.0</v>
      </c>
      <c r="AA21" s="220">
        <v>10.0</v>
      </c>
      <c r="AB21" s="220">
        <v>12.0</v>
      </c>
      <c r="AC21" s="218">
        <f t="shared" si="1"/>
        <v>278</v>
      </c>
      <c r="AD21" s="78"/>
      <c r="AE21" s="101"/>
      <c r="AF21" s="101"/>
    </row>
    <row r="22" ht="15.75" customHeight="1">
      <c r="A22" s="82"/>
      <c r="B22" s="89">
        <v>4.0</v>
      </c>
      <c r="C22" s="146" t="s">
        <v>88</v>
      </c>
      <c r="D22" s="94" t="s">
        <v>19</v>
      </c>
      <c r="E22" s="224">
        <v>50.0</v>
      </c>
      <c r="F22" s="224">
        <v>50.0</v>
      </c>
      <c r="G22" s="224">
        <v>50.0</v>
      </c>
      <c r="H22" s="224">
        <v>50.0</v>
      </c>
      <c r="I22" s="224">
        <v>50.0</v>
      </c>
      <c r="J22" s="224">
        <v>50.0</v>
      </c>
      <c r="K22" s="224">
        <v>50.0</v>
      </c>
      <c r="L22" s="224">
        <v>50.0</v>
      </c>
      <c r="M22" s="224">
        <v>50.0</v>
      </c>
      <c r="N22" s="224">
        <v>50.0</v>
      </c>
      <c r="O22" s="224">
        <v>50.0</v>
      </c>
      <c r="P22" s="224">
        <v>50.0</v>
      </c>
      <c r="Q22" s="224">
        <v>50.0</v>
      </c>
      <c r="R22" s="224">
        <v>50.0</v>
      </c>
      <c r="S22" s="224">
        <v>50.0</v>
      </c>
      <c r="T22" s="224">
        <v>50.0</v>
      </c>
      <c r="U22" s="224">
        <v>50.0</v>
      </c>
      <c r="V22" s="224">
        <v>50.0</v>
      </c>
      <c r="W22" s="224">
        <v>50.0</v>
      </c>
      <c r="X22" s="224">
        <v>50.0</v>
      </c>
      <c r="Y22" s="224">
        <v>50.0</v>
      </c>
      <c r="Z22" s="224">
        <v>50.0</v>
      </c>
      <c r="AA22" s="224">
        <v>50.0</v>
      </c>
      <c r="AB22" s="224">
        <v>50.0</v>
      </c>
      <c r="AC22" s="218">
        <f t="shared" si="1"/>
        <v>1200</v>
      </c>
      <c r="AD22" s="100">
        <f>IFERROR(AC23/AC22,"")</f>
        <v>0.97</v>
      </c>
      <c r="AE22" s="101"/>
      <c r="AF22" s="101"/>
    </row>
    <row r="23" ht="15.75" customHeight="1">
      <c r="A23" s="78"/>
      <c r="B23" s="78"/>
      <c r="C23" s="78"/>
      <c r="D23" s="94" t="s">
        <v>26</v>
      </c>
      <c r="E23" s="219">
        <v>40.0</v>
      </c>
      <c r="F23" s="220">
        <v>42.0</v>
      </c>
      <c r="G23" s="220">
        <v>43.0</v>
      </c>
      <c r="H23" s="220">
        <v>44.0</v>
      </c>
      <c r="I23" s="220">
        <v>46.0</v>
      </c>
      <c r="J23" s="220">
        <v>48.0</v>
      </c>
      <c r="K23" s="220">
        <v>52.0</v>
      </c>
      <c r="L23" s="220">
        <v>50.0</v>
      </c>
      <c r="M23" s="220">
        <v>51.0</v>
      </c>
      <c r="N23" s="220">
        <v>54.0</v>
      </c>
      <c r="O23" s="220">
        <v>53.0</v>
      </c>
      <c r="P23" s="220">
        <v>56.0</v>
      </c>
      <c r="Q23" s="220">
        <v>54.0</v>
      </c>
      <c r="R23" s="220">
        <v>51.0</v>
      </c>
      <c r="S23" s="220">
        <v>50.0</v>
      </c>
      <c r="T23" s="220">
        <v>48.0</v>
      </c>
      <c r="U23" s="220">
        <v>47.0</v>
      </c>
      <c r="V23" s="220">
        <v>50.0</v>
      </c>
      <c r="W23" s="220">
        <v>45.0</v>
      </c>
      <c r="X23" s="220">
        <v>44.0</v>
      </c>
      <c r="Y23" s="220">
        <v>47.0</v>
      </c>
      <c r="Z23" s="220">
        <v>48.0</v>
      </c>
      <c r="AA23" s="220">
        <v>51.0</v>
      </c>
      <c r="AB23" s="220">
        <v>50.0</v>
      </c>
      <c r="AC23" s="218">
        <f t="shared" si="1"/>
        <v>1164</v>
      </c>
      <c r="AD23" s="78"/>
      <c r="AE23" s="101"/>
      <c r="AF23" s="101"/>
    </row>
    <row r="24" ht="15.75" customHeight="1">
      <c r="A24" s="165" t="s">
        <v>101</v>
      </c>
      <c r="B24" s="166">
        <v>1.0</v>
      </c>
      <c r="C24" s="92" t="s">
        <v>109</v>
      </c>
      <c r="D24" s="94" t="s">
        <v>19</v>
      </c>
      <c r="E24" s="225">
        <v>7000000.0</v>
      </c>
      <c r="F24" s="225">
        <v>7000000.0</v>
      </c>
      <c r="G24" s="225">
        <v>7000000.0</v>
      </c>
      <c r="H24" s="225">
        <v>7000000.0</v>
      </c>
      <c r="I24" s="225">
        <v>7000000.0</v>
      </c>
      <c r="J24" s="225">
        <v>7000000.0</v>
      </c>
      <c r="K24" s="225">
        <v>7000000.0</v>
      </c>
      <c r="L24" s="225">
        <v>7000000.0</v>
      </c>
      <c r="M24" s="225">
        <v>7000000.0</v>
      </c>
      <c r="N24" s="225">
        <v>7000000.0</v>
      </c>
      <c r="O24" s="225">
        <v>7000000.0</v>
      </c>
      <c r="P24" s="225">
        <v>7000000.0</v>
      </c>
      <c r="Q24" s="225">
        <v>7000000.0</v>
      </c>
      <c r="R24" s="225">
        <v>7000000.0</v>
      </c>
      <c r="S24" s="225">
        <v>7000000.0</v>
      </c>
      <c r="T24" s="225">
        <v>7000000.0</v>
      </c>
      <c r="U24" s="225">
        <v>7000000.0</v>
      </c>
      <c r="V24" s="225">
        <v>7000000.0</v>
      </c>
      <c r="W24" s="225">
        <v>7000000.0</v>
      </c>
      <c r="X24" s="225">
        <v>7000000.0</v>
      </c>
      <c r="Y24" s="225">
        <v>7000000.0</v>
      </c>
      <c r="Z24" s="225">
        <v>7000000.0</v>
      </c>
      <c r="AA24" s="225">
        <v>7000000.0</v>
      </c>
      <c r="AB24" s="225">
        <v>7000000.0</v>
      </c>
      <c r="AC24" s="226">
        <f t="shared" si="1"/>
        <v>168000000</v>
      </c>
      <c r="AD24" s="100">
        <f>IFERROR(AC25/AC24,"")</f>
        <v>0.9558928571</v>
      </c>
      <c r="AE24" s="101"/>
      <c r="AF24" s="101"/>
    </row>
    <row r="25" ht="15.75" customHeight="1">
      <c r="A25" s="82"/>
      <c r="B25" s="78"/>
      <c r="C25" s="78"/>
      <c r="D25" s="94" t="s">
        <v>26</v>
      </c>
      <c r="E25" s="227">
        <v>6000000.0</v>
      </c>
      <c r="F25" s="228">
        <v>6500000.0</v>
      </c>
      <c r="G25" s="228">
        <v>6000000.0</v>
      </c>
      <c r="H25" s="228">
        <v>6200000.0</v>
      </c>
      <c r="I25" s="228">
        <v>6400000.0</v>
      </c>
      <c r="J25" s="228">
        <v>6450000.0</v>
      </c>
      <c r="K25" s="228">
        <v>6500000.0</v>
      </c>
      <c r="L25" s="228">
        <v>6600000.0</v>
      </c>
      <c r="M25" s="228">
        <v>6750000.0</v>
      </c>
      <c r="N25" s="228">
        <v>6400000.0</v>
      </c>
      <c r="O25" s="228">
        <v>6800000.0</v>
      </c>
      <c r="P25" s="228">
        <v>6850000.0</v>
      </c>
      <c r="Q25" s="228">
        <v>6900000.0</v>
      </c>
      <c r="R25" s="228">
        <v>7000000.0</v>
      </c>
      <c r="S25" s="228">
        <v>7100000.0</v>
      </c>
      <c r="T25" s="228">
        <v>7050000.0</v>
      </c>
      <c r="U25" s="228">
        <v>6950000.0</v>
      </c>
      <c r="V25" s="228">
        <v>6940000.0</v>
      </c>
      <c r="W25" s="228">
        <v>6900000.0</v>
      </c>
      <c r="X25" s="228">
        <v>7000000.0</v>
      </c>
      <c r="Y25" s="228">
        <v>7050000.0</v>
      </c>
      <c r="Z25" s="228">
        <v>6700000.0</v>
      </c>
      <c r="AA25" s="228">
        <v>6750000.0</v>
      </c>
      <c r="AB25" s="228">
        <v>6800000.0</v>
      </c>
      <c r="AC25" s="226">
        <f t="shared" si="1"/>
        <v>160590000</v>
      </c>
      <c r="AD25" s="78"/>
      <c r="AE25" s="101"/>
      <c r="AF25" s="101"/>
    </row>
    <row r="26" ht="15.75" customHeight="1">
      <c r="A26" s="82"/>
      <c r="B26" s="166">
        <v>2.0</v>
      </c>
      <c r="C26" s="92" t="s">
        <v>145</v>
      </c>
      <c r="D26" s="94" t="s">
        <v>19</v>
      </c>
      <c r="E26" s="225">
        <v>1400000.0</v>
      </c>
      <c r="F26" s="225">
        <v>1400000.0</v>
      </c>
      <c r="G26" s="225">
        <v>1400000.0</v>
      </c>
      <c r="H26" s="225">
        <v>1400000.0</v>
      </c>
      <c r="I26" s="225">
        <v>1400000.0</v>
      </c>
      <c r="J26" s="225">
        <v>1400000.0</v>
      </c>
      <c r="K26" s="225">
        <v>1400000.0</v>
      </c>
      <c r="L26" s="225">
        <v>1400000.0</v>
      </c>
      <c r="M26" s="225">
        <v>1400000.0</v>
      </c>
      <c r="N26" s="225">
        <v>1400000.0</v>
      </c>
      <c r="O26" s="225">
        <v>1400000.0</v>
      </c>
      <c r="P26" s="225">
        <v>1400000.0</v>
      </c>
      <c r="Q26" s="225">
        <v>1400000.0</v>
      </c>
      <c r="R26" s="225">
        <v>1400000.0</v>
      </c>
      <c r="S26" s="225">
        <v>1400000.0</v>
      </c>
      <c r="T26" s="225">
        <v>1400000.0</v>
      </c>
      <c r="U26" s="225">
        <v>1400000.0</v>
      </c>
      <c r="V26" s="225">
        <v>1400000.0</v>
      </c>
      <c r="W26" s="225">
        <v>1400000.0</v>
      </c>
      <c r="X26" s="225">
        <v>1400000.0</v>
      </c>
      <c r="Y26" s="225">
        <v>1400000.0</v>
      </c>
      <c r="Z26" s="225">
        <v>1400000.0</v>
      </c>
      <c r="AA26" s="225">
        <v>1400000.0</v>
      </c>
      <c r="AB26" s="225">
        <v>1400000.0</v>
      </c>
      <c r="AC26" s="226">
        <f t="shared" si="1"/>
        <v>33600000</v>
      </c>
      <c r="AD26" s="100">
        <f>IFERROR(AC26/AC27,"")</f>
        <v>1.040247678</v>
      </c>
      <c r="AE26" s="101"/>
      <c r="AF26" s="101"/>
    </row>
    <row r="27" ht="15.75" customHeight="1">
      <c r="A27" s="82"/>
      <c r="B27" s="78"/>
      <c r="C27" s="78"/>
      <c r="D27" s="94" t="s">
        <v>26</v>
      </c>
      <c r="E27" s="227">
        <v>1250000.0</v>
      </c>
      <c r="F27" s="228">
        <v>1300000.0</v>
      </c>
      <c r="G27" s="228">
        <v>1350000.0</v>
      </c>
      <c r="H27" s="228">
        <v>1340000.0</v>
      </c>
      <c r="I27" s="228">
        <v>1320000.0</v>
      </c>
      <c r="J27" s="228">
        <v>1400000.0</v>
      </c>
      <c r="K27" s="228">
        <v>1380000.0</v>
      </c>
      <c r="L27" s="228">
        <v>1200000.0</v>
      </c>
      <c r="M27" s="228">
        <v>1100000.0</v>
      </c>
      <c r="N27" s="228">
        <v>1450000.0</v>
      </c>
      <c r="O27" s="228">
        <v>1500000.0</v>
      </c>
      <c r="P27" s="228">
        <v>1540000.0</v>
      </c>
      <c r="Q27" s="228">
        <v>1450000.0</v>
      </c>
      <c r="R27" s="228">
        <v>1250000.0</v>
      </c>
      <c r="S27" s="228">
        <v>1150000.0</v>
      </c>
      <c r="T27" s="228">
        <v>1120000.0</v>
      </c>
      <c r="U27" s="228">
        <v>1420000.0</v>
      </c>
      <c r="V27" s="228">
        <v>1250000.0</v>
      </c>
      <c r="W27" s="228">
        <v>1360000.0</v>
      </c>
      <c r="X27" s="228">
        <v>1420000.0</v>
      </c>
      <c r="Y27" s="228">
        <v>1550000.0</v>
      </c>
      <c r="Z27" s="228">
        <v>1600000.0</v>
      </c>
      <c r="AA27" s="228">
        <v>1250000.0</v>
      </c>
      <c r="AB27" s="228">
        <v>1350000.0</v>
      </c>
      <c r="AC27" s="226">
        <f t="shared" si="1"/>
        <v>32300000</v>
      </c>
      <c r="AD27" s="78"/>
      <c r="AE27" s="101"/>
      <c r="AF27" s="101"/>
    </row>
    <row r="28" ht="15.75" customHeight="1">
      <c r="A28" s="82"/>
      <c r="B28" s="166">
        <v>3.0</v>
      </c>
      <c r="C28" s="175" t="s">
        <v>166</v>
      </c>
      <c r="D28" s="94" t="s">
        <v>19</v>
      </c>
      <c r="E28" s="225">
        <v>5600000.0</v>
      </c>
      <c r="F28" s="225">
        <v>5600000.0</v>
      </c>
      <c r="G28" s="225">
        <v>5600000.0</v>
      </c>
      <c r="H28" s="225">
        <v>5600000.0</v>
      </c>
      <c r="I28" s="225">
        <v>5600000.0</v>
      </c>
      <c r="J28" s="225">
        <v>5600000.0</v>
      </c>
      <c r="K28" s="225">
        <v>5600000.0</v>
      </c>
      <c r="L28" s="225">
        <v>5600000.0</v>
      </c>
      <c r="M28" s="225">
        <v>5600000.0</v>
      </c>
      <c r="N28" s="225">
        <v>5600000.0</v>
      </c>
      <c r="O28" s="225">
        <v>5600000.0</v>
      </c>
      <c r="P28" s="225">
        <v>5600000.0</v>
      </c>
      <c r="Q28" s="225">
        <v>5600000.0</v>
      </c>
      <c r="R28" s="225">
        <v>5600000.0</v>
      </c>
      <c r="S28" s="225">
        <v>5600000.0</v>
      </c>
      <c r="T28" s="225">
        <v>5600000.0</v>
      </c>
      <c r="U28" s="225">
        <v>5600000.0</v>
      </c>
      <c r="V28" s="225">
        <v>5600000.0</v>
      </c>
      <c r="W28" s="225">
        <v>5600000.0</v>
      </c>
      <c r="X28" s="225">
        <v>5600000.0</v>
      </c>
      <c r="Y28" s="225">
        <v>5600000.0</v>
      </c>
      <c r="Z28" s="225">
        <v>5600000.0</v>
      </c>
      <c r="AA28" s="225">
        <v>5600000.0</v>
      </c>
      <c r="AB28" s="225">
        <v>5600000.0</v>
      </c>
      <c r="AC28" s="226">
        <f t="shared" si="1"/>
        <v>134400000</v>
      </c>
      <c r="AD28" s="100">
        <f>IFERROR(AC29/AC28,"")</f>
        <v>0.9545386905</v>
      </c>
      <c r="AE28" s="101"/>
      <c r="AF28" s="101"/>
    </row>
    <row r="29" ht="15.75" customHeight="1">
      <c r="A29" s="78"/>
      <c r="B29" s="78"/>
      <c r="C29" s="78"/>
      <c r="D29" s="94" t="s">
        <v>26</v>
      </c>
      <c r="E29" s="229">
        <f t="shared" ref="E29:AB29" si="2">E25-E27</f>
        <v>4750000</v>
      </c>
      <c r="F29" s="229">
        <f t="shared" si="2"/>
        <v>5200000</v>
      </c>
      <c r="G29" s="229">
        <f t="shared" si="2"/>
        <v>4650000</v>
      </c>
      <c r="H29" s="229">
        <f t="shared" si="2"/>
        <v>4860000</v>
      </c>
      <c r="I29" s="229">
        <f t="shared" si="2"/>
        <v>5080000</v>
      </c>
      <c r="J29" s="229">
        <f t="shared" si="2"/>
        <v>5050000</v>
      </c>
      <c r="K29" s="229">
        <f t="shared" si="2"/>
        <v>5120000</v>
      </c>
      <c r="L29" s="229">
        <f t="shared" si="2"/>
        <v>5400000</v>
      </c>
      <c r="M29" s="229">
        <f t="shared" si="2"/>
        <v>5650000</v>
      </c>
      <c r="N29" s="229">
        <f t="shared" si="2"/>
        <v>4950000</v>
      </c>
      <c r="O29" s="229">
        <f t="shared" si="2"/>
        <v>5300000</v>
      </c>
      <c r="P29" s="229">
        <f t="shared" si="2"/>
        <v>5310000</v>
      </c>
      <c r="Q29" s="229">
        <f t="shared" si="2"/>
        <v>5450000</v>
      </c>
      <c r="R29" s="229">
        <f t="shared" si="2"/>
        <v>5750000</v>
      </c>
      <c r="S29" s="229">
        <f t="shared" si="2"/>
        <v>5950000</v>
      </c>
      <c r="T29" s="229">
        <f t="shared" si="2"/>
        <v>5930000</v>
      </c>
      <c r="U29" s="229">
        <f t="shared" si="2"/>
        <v>5530000</v>
      </c>
      <c r="V29" s="229">
        <f t="shared" si="2"/>
        <v>5690000</v>
      </c>
      <c r="W29" s="229">
        <f t="shared" si="2"/>
        <v>5540000</v>
      </c>
      <c r="X29" s="229">
        <f t="shared" si="2"/>
        <v>5580000</v>
      </c>
      <c r="Y29" s="229">
        <f t="shared" si="2"/>
        <v>5500000</v>
      </c>
      <c r="Z29" s="229">
        <f t="shared" si="2"/>
        <v>5100000</v>
      </c>
      <c r="AA29" s="229">
        <f t="shared" si="2"/>
        <v>5500000</v>
      </c>
      <c r="AB29" s="229">
        <f t="shared" si="2"/>
        <v>5450000</v>
      </c>
      <c r="AC29" s="226">
        <f t="shared" si="1"/>
        <v>128290000</v>
      </c>
      <c r="AD29" s="78"/>
      <c r="AE29" s="101"/>
      <c r="AF29" s="101"/>
    </row>
    <row r="30" ht="15.75" customHeight="1">
      <c r="A30" s="58"/>
      <c r="B30" s="58"/>
      <c r="C30" s="58"/>
      <c r="D30" s="177"/>
      <c r="E30" s="230"/>
      <c r="F30" s="230"/>
      <c r="G30" s="230"/>
      <c r="H30" s="230"/>
      <c r="I30" s="230"/>
      <c r="J30" s="230"/>
      <c r="K30" s="230"/>
      <c r="L30" s="230"/>
      <c r="M30" s="230"/>
      <c r="N30" s="230"/>
      <c r="O30" s="230"/>
      <c r="P30" s="230"/>
      <c r="Q30" s="230"/>
      <c r="R30" s="230"/>
      <c r="S30" s="230"/>
      <c r="T30" s="230"/>
      <c r="U30" s="230"/>
      <c r="V30" s="230"/>
      <c r="W30" s="230"/>
      <c r="X30" s="230"/>
      <c r="Y30" s="230"/>
      <c r="Z30" s="230"/>
      <c r="AA30" s="230"/>
      <c r="AB30" s="230"/>
      <c r="AC30" s="230"/>
      <c r="AD30" s="231"/>
      <c r="AE30" s="179">
        <v>0.01</v>
      </c>
      <c r="AF30" s="179"/>
    </row>
  </sheetData>
  <mergeCells count="51">
    <mergeCell ref="A2:C2"/>
    <mergeCell ref="E2:H2"/>
    <mergeCell ref="I2:L2"/>
    <mergeCell ref="M2:P2"/>
    <mergeCell ref="Q2:T2"/>
    <mergeCell ref="U2:X2"/>
    <mergeCell ref="Y2:AB2"/>
    <mergeCell ref="A4:A9"/>
    <mergeCell ref="A10:A15"/>
    <mergeCell ref="A16:A23"/>
    <mergeCell ref="A24:A29"/>
    <mergeCell ref="A3:B3"/>
    <mergeCell ref="B4:B5"/>
    <mergeCell ref="C4:C5"/>
    <mergeCell ref="B6:B7"/>
    <mergeCell ref="C6:C7"/>
    <mergeCell ref="B8:B9"/>
    <mergeCell ref="C8:C9"/>
    <mergeCell ref="B16:B17"/>
    <mergeCell ref="B18:B19"/>
    <mergeCell ref="B20:B21"/>
    <mergeCell ref="B22:B23"/>
    <mergeCell ref="B24:B25"/>
    <mergeCell ref="B26:B27"/>
    <mergeCell ref="B28:B29"/>
    <mergeCell ref="C18:C19"/>
    <mergeCell ref="C20:C21"/>
    <mergeCell ref="C22:C23"/>
    <mergeCell ref="C24:C25"/>
    <mergeCell ref="C26:C27"/>
    <mergeCell ref="C28:C29"/>
    <mergeCell ref="B10:B11"/>
    <mergeCell ref="C10:C11"/>
    <mergeCell ref="B12:B13"/>
    <mergeCell ref="C12:C13"/>
    <mergeCell ref="B14:B15"/>
    <mergeCell ref="C14:C15"/>
    <mergeCell ref="C16:C17"/>
    <mergeCell ref="AD18:AD19"/>
    <mergeCell ref="AD20:AD21"/>
    <mergeCell ref="AD22:AD23"/>
    <mergeCell ref="AD24:AD25"/>
    <mergeCell ref="AD26:AD27"/>
    <mergeCell ref="AD28:AD29"/>
    <mergeCell ref="AD4:AD5"/>
    <mergeCell ref="AD6:AD7"/>
    <mergeCell ref="AD8:AD9"/>
    <mergeCell ref="AD10:AD11"/>
    <mergeCell ref="AD12:AD13"/>
    <mergeCell ref="AD14:AD15"/>
    <mergeCell ref="AD16:AD17"/>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outlineLevelCol="4"/>
  <cols>
    <col customWidth="1" min="1" max="1" width="2.75"/>
    <col customWidth="1" min="2" max="2" width="5.63"/>
    <col customWidth="1" min="3" max="3" width="4.63"/>
    <col customWidth="1" min="4" max="4" width="19.25"/>
    <col customWidth="1" min="5" max="5" width="5.13"/>
    <col customWidth="1" min="6" max="36" width="8.63"/>
    <col customWidth="1" min="37" max="37" width="10.13"/>
    <col customWidth="1" min="38" max="38" width="9.63"/>
    <col customWidth="1" min="39" max="39" width="2.75"/>
  </cols>
  <sheetData>
    <row r="1" ht="15.75" customHeight="1">
      <c r="A1" s="58"/>
      <c r="B1" s="58"/>
      <c r="C1" s="58"/>
      <c r="D1" s="58"/>
      <c r="E1" s="59"/>
      <c r="F1" s="59"/>
      <c r="G1" s="59"/>
      <c r="H1" s="59"/>
      <c r="I1" s="59"/>
      <c r="J1" s="59"/>
      <c r="K1" s="59"/>
      <c r="L1" s="59"/>
      <c r="M1" s="59"/>
      <c r="N1" s="59"/>
      <c r="O1" s="59"/>
      <c r="P1" s="59"/>
      <c r="Q1" s="59"/>
      <c r="R1" s="59"/>
      <c r="S1" s="59"/>
      <c r="T1" s="59"/>
      <c r="U1" s="59"/>
      <c r="V1" s="59"/>
      <c r="W1" s="59"/>
      <c r="X1" s="59"/>
      <c r="Y1" s="59"/>
      <c r="Z1" s="59"/>
      <c r="AA1" s="59"/>
      <c r="AB1" s="59"/>
      <c r="AC1" s="59"/>
      <c r="AD1" s="59"/>
      <c r="AE1" s="59"/>
      <c r="AF1" s="59"/>
      <c r="AG1" s="59"/>
      <c r="AH1" s="59"/>
      <c r="AI1" s="59"/>
      <c r="AJ1" s="59"/>
      <c r="AK1" s="59"/>
      <c r="AL1" s="64"/>
      <c r="AM1" s="64"/>
    </row>
    <row r="2" ht="15.75" customHeight="1">
      <c r="A2" s="58"/>
      <c r="B2" s="65" t="s">
        <v>247</v>
      </c>
      <c r="C2" s="63"/>
      <c r="D2" s="66"/>
      <c r="E2" s="67"/>
      <c r="F2" s="68" t="s">
        <v>95</v>
      </c>
      <c r="G2" s="63"/>
      <c r="H2" s="63"/>
      <c r="I2" s="63"/>
      <c r="J2" s="63"/>
      <c r="K2" s="63"/>
      <c r="L2" s="66"/>
      <c r="M2" s="68" t="s">
        <v>96</v>
      </c>
      <c r="N2" s="63"/>
      <c r="O2" s="63"/>
      <c r="P2" s="63"/>
      <c r="Q2" s="63"/>
      <c r="R2" s="63"/>
      <c r="S2" s="66"/>
      <c r="T2" s="68" t="s">
        <v>97</v>
      </c>
      <c r="U2" s="63"/>
      <c r="V2" s="63"/>
      <c r="W2" s="63"/>
      <c r="X2" s="63"/>
      <c r="Y2" s="63"/>
      <c r="Z2" s="66"/>
      <c r="AA2" s="68" t="s">
        <v>98</v>
      </c>
      <c r="AB2" s="63"/>
      <c r="AC2" s="63"/>
      <c r="AD2" s="63"/>
      <c r="AE2" s="63"/>
      <c r="AF2" s="63"/>
      <c r="AG2" s="66"/>
      <c r="AH2" s="68" t="s">
        <v>99</v>
      </c>
      <c r="AI2" s="63"/>
      <c r="AJ2" s="66"/>
      <c r="AK2" s="69"/>
      <c r="AL2" s="71"/>
      <c r="AM2" s="64"/>
    </row>
    <row r="3" ht="15.75" customHeight="1">
      <c r="A3" s="58"/>
      <c r="B3" s="72"/>
      <c r="C3" s="66"/>
      <c r="D3" s="75" t="s">
        <v>7</v>
      </c>
      <c r="E3" s="76"/>
      <c r="F3" s="232">
        <v>44256.0</v>
      </c>
      <c r="G3" s="233">
        <f t="shared" ref="G3:AJ3" si="1">F3+1</f>
        <v>44257</v>
      </c>
      <c r="H3" s="233">
        <f t="shared" si="1"/>
        <v>44258</v>
      </c>
      <c r="I3" s="233">
        <f t="shared" si="1"/>
        <v>44259</v>
      </c>
      <c r="J3" s="233">
        <f t="shared" si="1"/>
        <v>44260</v>
      </c>
      <c r="K3" s="233">
        <f t="shared" si="1"/>
        <v>44261</v>
      </c>
      <c r="L3" s="233">
        <f t="shared" si="1"/>
        <v>44262</v>
      </c>
      <c r="M3" s="233">
        <f t="shared" si="1"/>
        <v>44263</v>
      </c>
      <c r="N3" s="233">
        <f t="shared" si="1"/>
        <v>44264</v>
      </c>
      <c r="O3" s="233">
        <f t="shared" si="1"/>
        <v>44265</v>
      </c>
      <c r="P3" s="233">
        <f t="shared" si="1"/>
        <v>44266</v>
      </c>
      <c r="Q3" s="233">
        <f t="shared" si="1"/>
        <v>44267</v>
      </c>
      <c r="R3" s="233">
        <f t="shared" si="1"/>
        <v>44268</v>
      </c>
      <c r="S3" s="233">
        <f t="shared" si="1"/>
        <v>44269</v>
      </c>
      <c r="T3" s="233">
        <f t="shared" si="1"/>
        <v>44270</v>
      </c>
      <c r="U3" s="233">
        <f t="shared" si="1"/>
        <v>44271</v>
      </c>
      <c r="V3" s="233">
        <f t="shared" si="1"/>
        <v>44272</v>
      </c>
      <c r="W3" s="233">
        <f t="shared" si="1"/>
        <v>44273</v>
      </c>
      <c r="X3" s="233">
        <f t="shared" si="1"/>
        <v>44274</v>
      </c>
      <c r="Y3" s="233">
        <f t="shared" si="1"/>
        <v>44275</v>
      </c>
      <c r="Z3" s="233">
        <f t="shared" si="1"/>
        <v>44276</v>
      </c>
      <c r="AA3" s="233">
        <f t="shared" si="1"/>
        <v>44277</v>
      </c>
      <c r="AB3" s="233">
        <f t="shared" si="1"/>
        <v>44278</v>
      </c>
      <c r="AC3" s="233">
        <f t="shared" si="1"/>
        <v>44279</v>
      </c>
      <c r="AD3" s="233">
        <f t="shared" si="1"/>
        <v>44280</v>
      </c>
      <c r="AE3" s="233">
        <f t="shared" si="1"/>
        <v>44281</v>
      </c>
      <c r="AF3" s="233">
        <f t="shared" si="1"/>
        <v>44282</v>
      </c>
      <c r="AG3" s="233">
        <f t="shared" si="1"/>
        <v>44283</v>
      </c>
      <c r="AH3" s="233">
        <f t="shared" si="1"/>
        <v>44284</v>
      </c>
      <c r="AI3" s="233">
        <f t="shared" si="1"/>
        <v>44285</v>
      </c>
      <c r="AJ3" s="233">
        <f t="shared" si="1"/>
        <v>44286</v>
      </c>
      <c r="AK3" s="79" t="s">
        <v>37</v>
      </c>
      <c r="AL3" s="234" t="s">
        <v>248</v>
      </c>
      <c r="AM3" s="58"/>
    </row>
    <row r="4" ht="15.75" customHeight="1">
      <c r="A4" s="64"/>
      <c r="B4" s="88" t="s">
        <v>17</v>
      </c>
      <c r="C4" s="89">
        <v>1.0</v>
      </c>
      <c r="D4" s="92" t="s">
        <v>18</v>
      </c>
      <c r="E4" s="94" t="s">
        <v>19</v>
      </c>
      <c r="F4" s="95">
        <v>250.0</v>
      </c>
      <c r="G4" s="95">
        <v>250.0</v>
      </c>
      <c r="H4" s="95">
        <v>250.0</v>
      </c>
      <c r="I4" s="95">
        <v>250.0</v>
      </c>
      <c r="J4" s="95">
        <v>250.0</v>
      </c>
      <c r="K4" s="95">
        <v>250.0</v>
      </c>
      <c r="L4" s="95">
        <v>250.0</v>
      </c>
      <c r="M4" s="95">
        <v>250.0</v>
      </c>
      <c r="N4" s="95">
        <v>250.0</v>
      </c>
      <c r="O4" s="95">
        <v>250.0</v>
      </c>
      <c r="P4" s="95">
        <v>250.0</v>
      </c>
      <c r="Q4" s="95">
        <v>250.0</v>
      </c>
      <c r="R4" s="95">
        <v>250.0</v>
      </c>
      <c r="S4" s="95">
        <v>250.0</v>
      </c>
      <c r="T4" s="95">
        <v>250.0</v>
      </c>
      <c r="U4" s="95">
        <v>250.0</v>
      </c>
      <c r="V4" s="95">
        <v>250.0</v>
      </c>
      <c r="W4" s="95">
        <v>250.0</v>
      </c>
      <c r="X4" s="95">
        <v>250.0</v>
      </c>
      <c r="Y4" s="95">
        <v>250.0</v>
      </c>
      <c r="Z4" s="95">
        <v>250.0</v>
      </c>
      <c r="AA4" s="95">
        <v>250.0</v>
      </c>
      <c r="AB4" s="95">
        <v>250.0</v>
      </c>
      <c r="AC4" s="95">
        <v>250.0</v>
      </c>
      <c r="AD4" s="95">
        <v>250.0</v>
      </c>
      <c r="AE4" s="95">
        <v>250.0</v>
      </c>
      <c r="AF4" s="95">
        <v>250.0</v>
      </c>
      <c r="AG4" s="95">
        <v>250.0</v>
      </c>
      <c r="AH4" s="95">
        <v>250.0</v>
      </c>
      <c r="AI4" s="95">
        <v>250.0</v>
      </c>
      <c r="AJ4" s="95">
        <v>250.0</v>
      </c>
      <c r="AK4" s="98">
        <f t="shared" ref="AK4:AK29" si="2">SUM(F4:AJ4)</f>
        <v>7750</v>
      </c>
      <c r="AL4" s="100">
        <f>IFERROR(AK5/AK4,"")</f>
        <v>1.008258065</v>
      </c>
      <c r="AM4" s="101"/>
    </row>
    <row r="5" ht="15.75" customHeight="1">
      <c r="A5" s="64"/>
      <c r="B5" s="82"/>
      <c r="C5" s="78"/>
      <c r="D5" s="78"/>
      <c r="E5" s="94" t="s">
        <v>26</v>
      </c>
      <c r="F5" s="103">
        <v>220.0</v>
      </c>
      <c r="G5" s="103">
        <v>230.0</v>
      </c>
      <c r="H5" s="103">
        <v>235.0</v>
      </c>
      <c r="I5" s="103">
        <v>245.0</v>
      </c>
      <c r="J5" s="103">
        <v>240.0</v>
      </c>
      <c r="K5" s="103">
        <v>248.0</v>
      </c>
      <c r="L5" s="103">
        <v>238.0</v>
      </c>
      <c r="M5" s="103">
        <v>250.0</v>
      </c>
      <c r="N5" s="103">
        <v>252.0</v>
      </c>
      <c r="O5" s="103">
        <v>255.0</v>
      </c>
      <c r="P5" s="103">
        <v>253.0</v>
      </c>
      <c r="Q5" s="103">
        <v>245.0</v>
      </c>
      <c r="R5" s="103">
        <v>246.0</v>
      </c>
      <c r="S5" s="103">
        <v>240.0</v>
      </c>
      <c r="T5" s="103">
        <v>244.0</v>
      </c>
      <c r="U5" s="103">
        <v>243.0</v>
      </c>
      <c r="V5" s="103">
        <v>240.0</v>
      </c>
      <c r="W5" s="103">
        <v>245.0</v>
      </c>
      <c r="X5" s="103">
        <v>250.0</v>
      </c>
      <c r="Y5" s="103">
        <v>255.0</v>
      </c>
      <c r="Z5" s="103">
        <v>250.0</v>
      </c>
      <c r="AA5" s="103">
        <v>245.0</v>
      </c>
      <c r="AB5" s="103">
        <v>244.0</v>
      </c>
      <c r="AC5" s="103">
        <v>240.0</v>
      </c>
      <c r="AD5" s="103">
        <v>535.0</v>
      </c>
      <c r="AE5" s="103">
        <v>230.0</v>
      </c>
      <c r="AF5" s="103">
        <v>235.0</v>
      </c>
      <c r="AG5" s="103">
        <v>234.0</v>
      </c>
      <c r="AH5" s="103">
        <v>240.0</v>
      </c>
      <c r="AI5" s="103">
        <v>242.0</v>
      </c>
      <c r="AJ5" s="103">
        <v>245.0</v>
      </c>
      <c r="AK5" s="98">
        <f t="shared" si="2"/>
        <v>7814</v>
      </c>
      <c r="AL5" s="78"/>
      <c r="AM5" s="101"/>
    </row>
    <row r="6" ht="15.75" customHeight="1">
      <c r="A6" s="64"/>
      <c r="B6" s="82"/>
      <c r="C6" s="89">
        <v>2.0</v>
      </c>
      <c r="D6" s="111" t="s">
        <v>40</v>
      </c>
      <c r="E6" s="94" t="s">
        <v>19</v>
      </c>
      <c r="F6" s="95">
        <v>50.0</v>
      </c>
      <c r="G6" s="95">
        <v>50.0</v>
      </c>
      <c r="H6" s="95">
        <v>50.0</v>
      </c>
      <c r="I6" s="95">
        <v>50.0</v>
      </c>
      <c r="J6" s="95">
        <v>50.0</v>
      </c>
      <c r="K6" s="95">
        <v>50.0</v>
      </c>
      <c r="L6" s="95">
        <v>50.0</v>
      </c>
      <c r="M6" s="95">
        <v>50.0</v>
      </c>
      <c r="N6" s="95">
        <v>50.0</v>
      </c>
      <c r="O6" s="95">
        <v>50.0</v>
      </c>
      <c r="P6" s="95">
        <v>50.0</v>
      </c>
      <c r="Q6" s="95">
        <v>50.0</v>
      </c>
      <c r="R6" s="95">
        <v>50.0</v>
      </c>
      <c r="S6" s="95">
        <v>50.0</v>
      </c>
      <c r="T6" s="95">
        <v>50.0</v>
      </c>
      <c r="U6" s="95">
        <v>50.0</v>
      </c>
      <c r="V6" s="95">
        <v>50.0</v>
      </c>
      <c r="W6" s="95">
        <v>50.0</v>
      </c>
      <c r="X6" s="95">
        <v>50.0</v>
      </c>
      <c r="Y6" s="95">
        <v>50.0</v>
      </c>
      <c r="Z6" s="95">
        <v>50.0</v>
      </c>
      <c r="AA6" s="95">
        <v>50.0</v>
      </c>
      <c r="AB6" s="95">
        <v>50.0</v>
      </c>
      <c r="AC6" s="95">
        <v>50.0</v>
      </c>
      <c r="AD6" s="95">
        <v>50.0</v>
      </c>
      <c r="AE6" s="95">
        <v>50.0</v>
      </c>
      <c r="AF6" s="95">
        <v>50.0</v>
      </c>
      <c r="AG6" s="95">
        <v>50.0</v>
      </c>
      <c r="AH6" s="95">
        <v>50.0</v>
      </c>
      <c r="AI6" s="95">
        <v>50.0</v>
      </c>
      <c r="AJ6" s="95">
        <v>50.0</v>
      </c>
      <c r="AK6" s="98">
        <f t="shared" si="2"/>
        <v>1550</v>
      </c>
      <c r="AL6" s="100">
        <f>IFERROR(AK7/AK6,"")</f>
        <v>0.875483871</v>
      </c>
      <c r="AM6" s="101"/>
    </row>
    <row r="7" ht="15.75" customHeight="1">
      <c r="A7" s="64"/>
      <c r="B7" s="82"/>
      <c r="C7" s="78"/>
      <c r="E7" s="94" t="s">
        <v>26</v>
      </c>
      <c r="F7" s="103">
        <v>40.0</v>
      </c>
      <c r="G7" s="103">
        <v>41.0</v>
      </c>
      <c r="H7" s="103">
        <v>43.0</v>
      </c>
      <c r="I7" s="103">
        <v>44.0</v>
      </c>
      <c r="J7" s="103">
        <v>42.0</v>
      </c>
      <c r="K7" s="103">
        <v>40.0</v>
      </c>
      <c r="L7" s="103">
        <v>45.0</v>
      </c>
      <c r="M7" s="103">
        <v>44.0</v>
      </c>
      <c r="N7" s="103">
        <v>46.0</v>
      </c>
      <c r="O7" s="103">
        <v>47.0</v>
      </c>
      <c r="P7" s="103">
        <v>48.0</v>
      </c>
      <c r="Q7" s="103">
        <v>49.0</v>
      </c>
      <c r="R7" s="103">
        <v>50.0</v>
      </c>
      <c r="S7" s="103">
        <v>52.0</v>
      </c>
      <c r="T7" s="103">
        <v>48.0</v>
      </c>
      <c r="U7" s="103">
        <v>45.0</v>
      </c>
      <c r="V7" s="103">
        <v>44.0</v>
      </c>
      <c r="W7" s="103">
        <v>40.0</v>
      </c>
      <c r="X7" s="103">
        <v>38.0</v>
      </c>
      <c r="Y7" s="103">
        <v>35.0</v>
      </c>
      <c r="Z7" s="103">
        <v>37.0</v>
      </c>
      <c r="AA7" s="103">
        <v>36.0</v>
      </c>
      <c r="AB7" s="103">
        <v>34.0</v>
      </c>
      <c r="AC7" s="103">
        <v>39.0</v>
      </c>
      <c r="AD7" s="103">
        <v>41.0</v>
      </c>
      <c r="AE7" s="103">
        <v>44.0</v>
      </c>
      <c r="AF7" s="103">
        <v>49.0</v>
      </c>
      <c r="AG7" s="103">
        <v>48.0</v>
      </c>
      <c r="AH7" s="103">
        <v>46.0</v>
      </c>
      <c r="AI7" s="103">
        <v>50.0</v>
      </c>
      <c r="AJ7" s="103">
        <v>52.0</v>
      </c>
      <c r="AK7" s="98">
        <f t="shared" si="2"/>
        <v>1357</v>
      </c>
      <c r="AL7" s="78"/>
      <c r="AM7" s="101"/>
    </row>
    <row r="8" ht="15.75" customHeight="1">
      <c r="A8" s="64"/>
      <c r="B8" s="82"/>
      <c r="C8" s="89">
        <v>3.0</v>
      </c>
      <c r="D8" s="92" t="s">
        <v>42</v>
      </c>
      <c r="E8" s="94" t="s">
        <v>19</v>
      </c>
      <c r="F8" s="95">
        <v>10.0</v>
      </c>
      <c r="G8" s="95">
        <v>10.0</v>
      </c>
      <c r="H8" s="95">
        <v>10.0</v>
      </c>
      <c r="I8" s="95">
        <v>10.0</v>
      </c>
      <c r="J8" s="95">
        <v>10.0</v>
      </c>
      <c r="K8" s="95">
        <v>10.0</v>
      </c>
      <c r="L8" s="95">
        <v>10.0</v>
      </c>
      <c r="M8" s="95">
        <v>10.0</v>
      </c>
      <c r="N8" s="95">
        <v>10.0</v>
      </c>
      <c r="O8" s="95">
        <v>10.0</v>
      </c>
      <c r="P8" s="95">
        <v>10.0</v>
      </c>
      <c r="Q8" s="95">
        <v>10.0</v>
      </c>
      <c r="R8" s="95">
        <v>10.0</v>
      </c>
      <c r="S8" s="95">
        <v>10.0</v>
      </c>
      <c r="T8" s="95">
        <v>10.0</v>
      </c>
      <c r="U8" s="95">
        <v>10.0</v>
      </c>
      <c r="V8" s="95">
        <v>10.0</v>
      </c>
      <c r="W8" s="95">
        <v>10.0</v>
      </c>
      <c r="X8" s="95">
        <v>10.0</v>
      </c>
      <c r="Y8" s="95">
        <v>10.0</v>
      </c>
      <c r="Z8" s="95">
        <v>10.0</v>
      </c>
      <c r="AA8" s="95">
        <v>10.0</v>
      </c>
      <c r="AB8" s="95">
        <v>10.0</v>
      </c>
      <c r="AC8" s="95">
        <v>10.0</v>
      </c>
      <c r="AD8" s="95">
        <v>10.0</v>
      </c>
      <c r="AE8" s="95">
        <v>10.0</v>
      </c>
      <c r="AF8" s="95">
        <v>10.0</v>
      </c>
      <c r="AG8" s="95">
        <v>10.0</v>
      </c>
      <c r="AH8" s="95">
        <v>10.0</v>
      </c>
      <c r="AI8" s="95">
        <v>10.0</v>
      </c>
      <c r="AJ8" s="95">
        <v>10.0</v>
      </c>
      <c r="AK8" s="98">
        <f t="shared" si="2"/>
        <v>310</v>
      </c>
      <c r="AL8" s="100">
        <f>IFERROR(AK9/AK8,"")</f>
        <v>0.835483871</v>
      </c>
      <c r="AM8" s="101"/>
    </row>
    <row r="9" ht="15.75" customHeight="1">
      <c r="A9" s="64"/>
      <c r="B9" s="78"/>
      <c r="C9" s="78"/>
      <c r="D9" s="78"/>
      <c r="E9" s="94" t="s">
        <v>26</v>
      </c>
      <c r="F9" s="103">
        <v>8.0</v>
      </c>
      <c r="G9" s="103">
        <v>7.0</v>
      </c>
      <c r="H9" s="103">
        <v>9.0</v>
      </c>
      <c r="I9" s="103">
        <v>6.0</v>
      </c>
      <c r="J9" s="103">
        <v>5.0</v>
      </c>
      <c r="K9" s="103">
        <v>4.0</v>
      </c>
      <c r="L9" s="103">
        <v>8.0</v>
      </c>
      <c r="M9" s="103">
        <v>9.0</v>
      </c>
      <c r="N9" s="103">
        <v>10.0</v>
      </c>
      <c r="O9" s="103">
        <v>11.0</v>
      </c>
      <c r="P9" s="103">
        <v>12.0</v>
      </c>
      <c r="Q9" s="103">
        <v>7.0</v>
      </c>
      <c r="R9" s="103">
        <v>4.0</v>
      </c>
      <c r="S9" s="103">
        <v>5.0</v>
      </c>
      <c r="T9" s="103">
        <v>3.0</v>
      </c>
      <c r="U9" s="103">
        <v>6.0</v>
      </c>
      <c r="V9" s="103">
        <v>4.0</v>
      </c>
      <c r="W9" s="103">
        <v>5.0</v>
      </c>
      <c r="X9" s="103">
        <v>6.0</v>
      </c>
      <c r="Y9" s="103">
        <v>7.0</v>
      </c>
      <c r="Z9" s="103">
        <v>8.0</v>
      </c>
      <c r="AA9" s="103">
        <v>9.0</v>
      </c>
      <c r="AB9" s="103">
        <v>10.0</v>
      </c>
      <c r="AC9" s="103">
        <v>11.0</v>
      </c>
      <c r="AD9" s="103">
        <v>12.0</v>
      </c>
      <c r="AE9" s="103">
        <v>13.0</v>
      </c>
      <c r="AF9" s="103">
        <v>14.0</v>
      </c>
      <c r="AG9" s="103">
        <v>15.0</v>
      </c>
      <c r="AH9" s="103">
        <v>12.0</v>
      </c>
      <c r="AI9" s="103">
        <v>10.0</v>
      </c>
      <c r="AJ9" s="103">
        <v>9.0</v>
      </c>
      <c r="AK9" s="98">
        <f t="shared" si="2"/>
        <v>259</v>
      </c>
      <c r="AL9" s="78"/>
      <c r="AM9" s="101"/>
    </row>
    <row r="10" ht="15.75" customHeight="1">
      <c r="A10" s="64"/>
      <c r="B10" s="88" t="s">
        <v>44</v>
      </c>
      <c r="C10" s="89">
        <v>1.0</v>
      </c>
      <c r="D10" s="92" t="s">
        <v>46</v>
      </c>
      <c r="E10" s="94" t="s">
        <v>19</v>
      </c>
      <c r="F10" s="95">
        <v>7.0</v>
      </c>
      <c r="G10" s="95">
        <v>7.0</v>
      </c>
      <c r="H10" s="95">
        <v>7.0</v>
      </c>
      <c r="I10" s="95">
        <v>7.0</v>
      </c>
      <c r="J10" s="95">
        <v>7.0</v>
      </c>
      <c r="K10" s="95">
        <v>7.0</v>
      </c>
      <c r="L10" s="95">
        <v>7.0</v>
      </c>
      <c r="M10" s="95">
        <v>7.0</v>
      </c>
      <c r="N10" s="95">
        <v>7.0</v>
      </c>
      <c r="O10" s="95">
        <v>7.0</v>
      </c>
      <c r="P10" s="95">
        <v>7.0</v>
      </c>
      <c r="Q10" s="95">
        <v>7.0</v>
      </c>
      <c r="R10" s="95">
        <v>7.0</v>
      </c>
      <c r="S10" s="95">
        <v>7.0</v>
      </c>
      <c r="T10" s="95">
        <v>7.0</v>
      </c>
      <c r="U10" s="95">
        <v>7.0</v>
      </c>
      <c r="V10" s="95">
        <v>7.0</v>
      </c>
      <c r="W10" s="95">
        <v>7.0</v>
      </c>
      <c r="X10" s="95">
        <v>7.0</v>
      </c>
      <c r="Y10" s="95">
        <v>7.0</v>
      </c>
      <c r="Z10" s="95">
        <v>7.0</v>
      </c>
      <c r="AA10" s="95">
        <v>7.0</v>
      </c>
      <c r="AB10" s="95">
        <v>7.0</v>
      </c>
      <c r="AC10" s="95">
        <v>7.0</v>
      </c>
      <c r="AD10" s="95">
        <v>7.0</v>
      </c>
      <c r="AE10" s="95">
        <v>7.0</v>
      </c>
      <c r="AF10" s="95">
        <v>7.0</v>
      </c>
      <c r="AG10" s="95">
        <v>7.0</v>
      </c>
      <c r="AH10" s="95">
        <v>7.0</v>
      </c>
      <c r="AI10" s="95">
        <v>7.0</v>
      </c>
      <c r="AJ10" s="95">
        <v>7.0</v>
      </c>
      <c r="AK10" s="98">
        <f t="shared" si="2"/>
        <v>217</v>
      </c>
      <c r="AL10" s="100">
        <f>IFERROR(AK11/AK10,"")</f>
        <v>0.9953917051</v>
      </c>
      <c r="AM10" s="101"/>
    </row>
    <row r="11" ht="15.75" customHeight="1">
      <c r="A11" s="64"/>
      <c r="B11" s="82"/>
      <c r="C11" s="78"/>
      <c r="D11" s="78"/>
      <c r="E11" s="94" t="s">
        <v>26</v>
      </c>
      <c r="F11" s="103">
        <v>7.0</v>
      </c>
      <c r="G11" s="103">
        <v>7.0</v>
      </c>
      <c r="H11" s="103">
        <v>8.0</v>
      </c>
      <c r="I11" s="103">
        <v>5.0</v>
      </c>
      <c r="J11" s="103">
        <v>4.0</v>
      </c>
      <c r="K11" s="103">
        <v>4.0</v>
      </c>
      <c r="L11" s="103">
        <v>7.0</v>
      </c>
      <c r="M11" s="103">
        <v>8.0</v>
      </c>
      <c r="N11" s="103">
        <v>7.0</v>
      </c>
      <c r="O11" s="103">
        <v>8.0</v>
      </c>
      <c r="P11" s="103">
        <v>10.0</v>
      </c>
      <c r="Q11" s="103">
        <v>6.0</v>
      </c>
      <c r="R11" s="103">
        <v>4.0</v>
      </c>
      <c r="S11" s="103">
        <v>4.0</v>
      </c>
      <c r="T11" s="103">
        <v>3.0</v>
      </c>
      <c r="U11" s="103">
        <v>4.0</v>
      </c>
      <c r="V11" s="103">
        <v>3.0</v>
      </c>
      <c r="W11" s="103">
        <v>4.0</v>
      </c>
      <c r="X11" s="103">
        <v>5.0</v>
      </c>
      <c r="Y11" s="103">
        <v>6.0</v>
      </c>
      <c r="Z11" s="103">
        <v>6.0</v>
      </c>
      <c r="AA11" s="103">
        <v>7.0</v>
      </c>
      <c r="AB11" s="103">
        <v>9.0</v>
      </c>
      <c r="AC11" s="103">
        <v>10.0</v>
      </c>
      <c r="AD11" s="103">
        <v>8.0</v>
      </c>
      <c r="AE11" s="103">
        <v>12.0</v>
      </c>
      <c r="AF11" s="103">
        <v>12.0</v>
      </c>
      <c r="AG11" s="103">
        <v>13.0</v>
      </c>
      <c r="AH11" s="103">
        <v>10.0</v>
      </c>
      <c r="AI11" s="103">
        <v>8.0</v>
      </c>
      <c r="AJ11" s="103">
        <v>7.0</v>
      </c>
      <c r="AK11" s="98">
        <f t="shared" si="2"/>
        <v>216</v>
      </c>
      <c r="AL11" s="78"/>
      <c r="AM11" s="101"/>
    </row>
    <row r="12" ht="15.75" customHeight="1">
      <c r="A12" s="64"/>
      <c r="B12" s="82"/>
      <c r="C12" s="89">
        <v>2.0</v>
      </c>
      <c r="D12" s="92" t="s">
        <v>52</v>
      </c>
      <c r="E12" s="94" t="s">
        <v>19</v>
      </c>
      <c r="F12" s="95">
        <v>5.0</v>
      </c>
      <c r="G12" s="95">
        <v>5.0</v>
      </c>
      <c r="H12" s="95">
        <v>5.0</v>
      </c>
      <c r="I12" s="95">
        <v>5.0</v>
      </c>
      <c r="J12" s="95">
        <v>5.0</v>
      </c>
      <c r="K12" s="95">
        <v>5.0</v>
      </c>
      <c r="L12" s="95">
        <v>5.0</v>
      </c>
      <c r="M12" s="95">
        <v>5.0</v>
      </c>
      <c r="N12" s="95">
        <v>5.0</v>
      </c>
      <c r="O12" s="95">
        <v>5.0</v>
      </c>
      <c r="P12" s="95">
        <v>5.0</v>
      </c>
      <c r="Q12" s="95">
        <v>5.0</v>
      </c>
      <c r="R12" s="95">
        <v>5.0</v>
      </c>
      <c r="S12" s="95">
        <v>5.0</v>
      </c>
      <c r="T12" s="95">
        <v>5.0</v>
      </c>
      <c r="U12" s="95">
        <v>5.0</v>
      </c>
      <c r="V12" s="95">
        <v>5.0</v>
      </c>
      <c r="W12" s="95">
        <v>5.0</v>
      </c>
      <c r="X12" s="95">
        <v>5.0</v>
      </c>
      <c r="Y12" s="95">
        <v>5.0</v>
      </c>
      <c r="Z12" s="95">
        <v>5.0</v>
      </c>
      <c r="AA12" s="95">
        <v>5.0</v>
      </c>
      <c r="AB12" s="95">
        <v>5.0</v>
      </c>
      <c r="AC12" s="95">
        <v>5.0</v>
      </c>
      <c r="AD12" s="95">
        <v>5.0</v>
      </c>
      <c r="AE12" s="95">
        <v>5.0</v>
      </c>
      <c r="AF12" s="95">
        <v>5.0</v>
      </c>
      <c r="AG12" s="95">
        <v>5.0</v>
      </c>
      <c r="AH12" s="95">
        <v>5.0</v>
      </c>
      <c r="AI12" s="95">
        <v>5.0</v>
      </c>
      <c r="AJ12" s="95">
        <v>5.0</v>
      </c>
      <c r="AK12" s="98">
        <f t="shared" si="2"/>
        <v>155</v>
      </c>
      <c r="AL12" s="100">
        <f>IFERROR(AK13/AK12,"")</f>
        <v>0.7741935484</v>
      </c>
      <c r="AM12" s="101"/>
    </row>
    <row r="13" ht="15.75" customHeight="1">
      <c r="A13" s="64"/>
      <c r="B13" s="82"/>
      <c r="C13" s="78"/>
      <c r="D13" s="78"/>
      <c r="E13" s="94" t="s">
        <v>26</v>
      </c>
      <c r="F13" s="103">
        <v>4.0</v>
      </c>
      <c r="G13" s="103">
        <v>4.0</v>
      </c>
      <c r="H13" s="103">
        <v>3.0</v>
      </c>
      <c r="I13" s="103">
        <v>4.0</v>
      </c>
      <c r="J13" s="103">
        <v>2.0</v>
      </c>
      <c r="K13" s="103">
        <v>3.0</v>
      </c>
      <c r="L13" s="103">
        <v>4.0</v>
      </c>
      <c r="M13" s="103">
        <v>3.0</v>
      </c>
      <c r="N13" s="103">
        <v>4.0</v>
      </c>
      <c r="O13" s="103">
        <v>1.0</v>
      </c>
      <c r="P13" s="103">
        <v>2.0</v>
      </c>
      <c r="Q13" s="103">
        <v>4.0</v>
      </c>
      <c r="R13" s="103">
        <v>2.0</v>
      </c>
      <c r="S13" s="103">
        <v>4.0</v>
      </c>
      <c r="T13" s="103">
        <v>3.0</v>
      </c>
      <c r="U13" s="103">
        <v>4.0</v>
      </c>
      <c r="V13" s="103">
        <v>3.0</v>
      </c>
      <c r="W13" s="103">
        <v>2.0</v>
      </c>
      <c r="X13" s="103">
        <v>4.0</v>
      </c>
      <c r="Y13" s="103">
        <v>2.0</v>
      </c>
      <c r="Z13" s="103">
        <v>4.0</v>
      </c>
      <c r="AA13" s="103">
        <v>4.0</v>
      </c>
      <c r="AB13" s="103">
        <v>5.0</v>
      </c>
      <c r="AC13" s="103">
        <v>7.0</v>
      </c>
      <c r="AD13" s="103">
        <v>4.0</v>
      </c>
      <c r="AE13" s="103">
        <v>8.0</v>
      </c>
      <c r="AF13" s="103">
        <v>7.0</v>
      </c>
      <c r="AG13" s="103">
        <v>6.0</v>
      </c>
      <c r="AH13" s="103">
        <v>5.0</v>
      </c>
      <c r="AI13" s="103">
        <v>4.0</v>
      </c>
      <c r="AJ13" s="103">
        <v>4.0</v>
      </c>
      <c r="AK13" s="98">
        <f t="shared" si="2"/>
        <v>120</v>
      </c>
      <c r="AL13" s="78"/>
      <c r="AM13" s="101"/>
    </row>
    <row r="14" ht="15.75" customHeight="1">
      <c r="A14" s="64"/>
      <c r="B14" s="82"/>
      <c r="C14" s="89">
        <v>3.0</v>
      </c>
      <c r="D14" s="92" t="s">
        <v>53</v>
      </c>
      <c r="E14" s="94" t="s">
        <v>19</v>
      </c>
      <c r="F14" s="95">
        <v>2.0</v>
      </c>
      <c r="G14" s="95">
        <v>2.0</v>
      </c>
      <c r="H14" s="95">
        <v>2.0</v>
      </c>
      <c r="I14" s="95">
        <v>2.0</v>
      </c>
      <c r="J14" s="95">
        <v>2.0</v>
      </c>
      <c r="K14" s="95">
        <v>2.0</v>
      </c>
      <c r="L14" s="95">
        <v>2.0</v>
      </c>
      <c r="M14" s="95">
        <v>2.0</v>
      </c>
      <c r="N14" s="95">
        <v>2.0</v>
      </c>
      <c r="O14" s="95">
        <v>2.0</v>
      </c>
      <c r="P14" s="95">
        <v>2.0</v>
      </c>
      <c r="Q14" s="95">
        <v>2.0</v>
      </c>
      <c r="R14" s="95">
        <v>2.0</v>
      </c>
      <c r="S14" s="95">
        <v>2.0</v>
      </c>
      <c r="T14" s="95">
        <v>2.0</v>
      </c>
      <c r="U14" s="95">
        <v>2.0</v>
      </c>
      <c r="V14" s="95">
        <v>2.0</v>
      </c>
      <c r="W14" s="95">
        <v>2.0</v>
      </c>
      <c r="X14" s="95">
        <v>2.0</v>
      </c>
      <c r="Y14" s="95">
        <v>2.0</v>
      </c>
      <c r="Z14" s="95">
        <v>2.0</v>
      </c>
      <c r="AA14" s="95">
        <v>2.0</v>
      </c>
      <c r="AB14" s="95">
        <v>2.0</v>
      </c>
      <c r="AC14" s="95">
        <v>2.0</v>
      </c>
      <c r="AD14" s="95">
        <v>2.0</v>
      </c>
      <c r="AE14" s="95">
        <v>2.0</v>
      </c>
      <c r="AF14" s="95">
        <v>2.0</v>
      </c>
      <c r="AG14" s="95">
        <v>2.0</v>
      </c>
      <c r="AH14" s="95">
        <v>2.0</v>
      </c>
      <c r="AI14" s="95">
        <v>2.0</v>
      </c>
      <c r="AJ14" s="95">
        <v>2.0</v>
      </c>
      <c r="AK14" s="98">
        <f t="shared" si="2"/>
        <v>62</v>
      </c>
      <c r="AL14" s="100">
        <f>IFERROR(AK15/AK14,"")</f>
        <v>0.9032258065</v>
      </c>
      <c r="AM14" s="101"/>
    </row>
    <row r="15" ht="15.75" customHeight="1">
      <c r="A15" s="64"/>
      <c r="B15" s="78"/>
      <c r="C15" s="78"/>
      <c r="D15" s="78"/>
      <c r="E15" s="94" t="s">
        <v>26</v>
      </c>
      <c r="F15" s="103">
        <v>2.0</v>
      </c>
      <c r="G15" s="103">
        <v>1.0</v>
      </c>
      <c r="H15" s="103">
        <v>2.0</v>
      </c>
      <c r="I15" s="103">
        <v>1.0</v>
      </c>
      <c r="J15" s="103">
        <v>2.0</v>
      </c>
      <c r="K15" s="103">
        <v>1.0</v>
      </c>
      <c r="L15" s="103">
        <v>3.0</v>
      </c>
      <c r="M15" s="103">
        <v>2.0</v>
      </c>
      <c r="N15" s="103">
        <v>1.0</v>
      </c>
      <c r="O15" s="103">
        <v>3.0</v>
      </c>
      <c r="P15" s="103">
        <v>2.0</v>
      </c>
      <c r="Q15" s="103">
        <v>3.0</v>
      </c>
      <c r="R15" s="103">
        <v>1.0</v>
      </c>
      <c r="S15" s="103">
        <v>1.0</v>
      </c>
      <c r="T15" s="103">
        <v>2.0</v>
      </c>
      <c r="U15" s="103">
        <v>3.0</v>
      </c>
      <c r="V15" s="103">
        <v>2.0</v>
      </c>
      <c r="W15" s="103">
        <v>2.0</v>
      </c>
      <c r="X15" s="103">
        <v>1.0</v>
      </c>
      <c r="Y15" s="103">
        <v>1.0</v>
      </c>
      <c r="Z15" s="103">
        <v>1.0</v>
      </c>
      <c r="AA15" s="103">
        <v>1.0</v>
      </c>
      <c r="AB15" s="103">
        <v>2.0</v>
      </c>
      <c r="AC15" s="103">
        <v>3.0</v>
      </c>
      <c r="AD15" s="103">
        <v>2.0</v>
      </c>
      <c r="AE15" s="103">
        <v>3.0</v>
      </c>
      <c r="AF15" s="103">
        <v>1.0</v>
      </c>
      <c r="AG15" s="103">
        <v>2.0</v>
      </c>
      <c r="AH15" s="103">
        <v>2.0</v>
      </c>
      <c r="AI15" s="103">
        <v>1.0</v>
      </c>
      <c r="AJ15" s="103">
        <v>2.0</v>
      </c>
      <c r="AK15" s="98">
        <f t="shared" si="2"/>
        <v>56</v>
      </c>
      <c r="AL15" s="78"/>
      <c r="AM15" s="101"/>
    </row>
    <row r="16" ht="15.75" customHeight="1">
      <c r="A16" s="64"/>
      <c r="B16" s="88" t="s">
        <v>54</v>
      </c>
      <c r="C16" s="89">
        <v>1.0</v>
      </c>
      <c r="D16" s="92" t="s">
        <v>55</v>
      </c>
      <c r="E16" s="94" t="s">
        <v>19</v>
      </c>
      <c r="F16" s="95">
        <v>6.0</v>
      </c>
      <c r="G16" s="95">
        <v>6.0</v>
      </c>
      <c r="H16" s="95">
        <v>6.0</v>
      </c>
      <c r="I16" s="95">
        <v>6.0</v>
      </c>
      <c r="J16" s="95">
        <v>6.0</v>
      </c>
      <c r="K16" s="95">
        <v>6.0</v>
      </c>
      <c r="L16" s="95">
        <v>6.0</v>
      </c>
      <c r="M16" s="95">
        <v>6.0</v>
      </c>
      <c r="N16" s="95">
        <v>6.0</v>
      </c>
      <c r="O16" s="95">
        <v>6.0</v>
      </c>
      <c r="P16" s="95">
        <v>6.0</v>
      </c>
      <c r="Q16" s="95">
        <v>6.0</v>
      </c>
      <c r="R16" s="95">
        <v>6.0</v>
      </c>
      <c r="S16" s="95">
        <v>6.0</v>
      </c>
      <c r="T16" s="95">
        <v>6.0</v>
      </c>
      <c r="U16" s="95">
        <v>6.0</v>
      </c>
      <c r="V16" s="95">
        <v>6.0</v>
      </c>
      <c r="W16" s="95">
        <v>6.0</v>
      </c>
      <c r="X16" s="95">
        <v>6.0</v>
      </c>
      <c r="Y16" s="95">
        <v>6.0</v>
      </c>
      <c r="Z16" s="95">
        <v>6.0</v>
      </c>
      <c r="AA16" s="95">
        <v>6.0</v>
      </c>
      <c r="AB16" s="95">
        <v>6.0</v>
      </c>
      <c r="AC16" s="95">
        <v>6.0</v>
      </c>
      <c r="AD16" s="95">
        <v>6.0</v>
      </c>
      <c r="AE16" s="95">
        <v>6.0</v>
      </c>
      <c r="AF16" s="95">
        <v>6.0</v>
      </c>
      <c r="AG16" s="95">
        <v>6.0</v>
      </c>
      <c r="AH16" s="95">
        <v>6.0</v>
      </c>
      <c r="AI16" s="95">
        <v>6.0</v>
      </c>
      <c r="AJ16" s="95">
        <v>6.0</v>
      </c>
      <c r="AK16" s="98">
        <f t="shared" si="2"/>
        <v>186</v>
      </c>
      <c r="AL16" s="100">
        <f>IFERROR(AK17/AK16,"")</f>
        <v>0.7419354839</v>
      </c>
      <c r="AM16" s="101"/>
    </row>
    <row r="17" ht="15.75" customHeight="1">
      <c r="A17" s="64"/>
      <c r="B17" s="82"/>
      <c r="C17" s="78"/>
      <c r="D17" s="78"/>
      <c r="E17" s="94" t="s">
        <v>26</v>
      </c>
      <c r="F17" s="103">
        <v>4.0</v>
      </c>
      <c r="G17" s="103">
        <v>3.0</v>
      </c>
      <c r="H17" s="103">
        <v>2.0</v>
      </c>
      <c r="I17" s="103">
        <v>4.0</v>
      </c>
      <c r="J17" s="103">
        <v>5.0</v>
      </c>
      <c r="K17" s="103">
        <v>3.0</v>
      </c>
      <c r="L17" s="103">
        <v>4.0</v>
      </c>
      <c r="M17" s="103">
        <v>2.0</v>
      </c>
      <c r="N17" s="103">
        <v>5.0</v>
      </c>
      <c r="O17" s="103">
        <v>6.0</v>
      </c>
      <c r="P17" s="103">
        <v>4.0</v>
      </c>
      <c r="Q17" s="103">
        <v>5.0</v>
      </c>
      <c r="R17" s="103">
        <v>7.0</v>
      </c>
      <c r="S17" s="103">
        <v>5.0</v>
      </c>
      <c r="T17" s="103">
        <v>4.0</v>
      </c>
      <c r="U17" s="103">
        <v>6.0</v>
      </c>
      <c r="V17" s="103">
        <v>4.0</v>
      </c>
      <c r="W17" s="103">
        <v>3.0</v>
      </c>
      <c r="X17" s="103">
        <v>5.0</v>
      </c>
      <c r="Y17" s="103">
        <v>7.0</v>
      </c>
      <c r="Z17" s="103">
        <v>8.0</v>
      </c>
      <c r="AA17" s="103">
        <v>6.0</v>
      </c>
      <c r="AB17" s="103">
        <v>4.0</v>
      </c>
      <c r="AC17" s="103">
        <v>2.0</v>
      </c>
      <c r="AD17" s="103">
        <v>3.0</v>
      </c>
      <c r="AE17" s="103">
        <v>4.0</v>
      </c>
      <c r="AF17" s="103">
        <v>5.0</v>
      </c>
      <c r="AG17" s="103">
        <v>3.0</v>
      </c>
      <c r="AH17" s="103">
        <v>4.0</v>
      </c>
      <c r="AI17" s="103">
        <v>5.0</v>
      </c>
      <c r="AJ17" s="103">
        <v>6.0</v>
      </c>
      <c r="AK17" s="98">
        <f t="shared" si="2"/>
        <v>138</v>
      </c>
      <c r="AL17" s="78"/>
      <c r="AM17" s="101"/>
    </row>
    <row r="18" ht="15.75" customHeight="1">
      <c r="A18" s="64"/>
      <c r="B18" s="82"/>
      <c r="C18" s="89">
        <v>2.0</v>
      </c>
      <c r="D18" s="146" t="s">
        <v>60</v>
      </c>
      <c r="E18" s="94" t="s">
        <v>19</v>
      </c>
      <c r="F18" s="95">
        <v>4.0</v>
      </c>
      <c r="G18" s="95">
        <v>4.0</v>
      </c>
      <c r="H18" s="95">
        <v>4.0</v>
      </c>
      <c r="I18" s="95">
        <v>4.0</v>
      </c>
      <c r="J18" s="95">
        <v>4.0</v>
      </c>
      <c r="K18" s="95">
        <v>4.0</v>
      </c>
      <c r="L18" s="95">
        <v>4.0</v>
      </c>
      <c r="M18" s="95">
        <v>4.0</v>
      </c>
      <c r="N18" s="95">
        <v>4.0</v>
      </c>
      <c r="O18" s="95">
        <v>4.0</v>
      </c>
      <c r="P18" s="95">
        <v>4.0</v>
      </c>
      <c r="Q18" s="95">
        <v>4.0</v>
      </c>
      <c r="R18" s="95">
        <v>4.0</v>
      </c>
      <c r="S18" s="95">
        <v>4.0</v>
      </c>
      <c r="T18" s="95">
        <v>4.0</v>
      </c>
      <c r="U18" s="95">
        <v>4.0</v>
      </c>
      <c r="V18" s="95">
        <v>4.0</v>
      </c>
      <c r="W18" s="95">
        <v>4.0</v>
      </c>
      <c r="X18" s="95">
        <v>4.0</v>
      </c>
      <c r="Y18" s="95">
        <v>4.0</v>
      </c>
      <c r="Z18" s="95">
        <v>4.0</v>
      </c>
      <c r="AA18" s="95">
        <v>4.0</v>
      </c>
      <c r="AB18" s="95">
        <v>4.0</v>
      </c>
      <c r="AC18" s="95">
        <v>4.0</v>
      </c>
      <c r="AD18" s="95">
        <v>4.0</v>
      </c>
      <c r="AE18" s="95">
        <v>4.0</v>
      </c>
      <c r="AF18" s="95">
        <v>4.0</v>
      </c>
      <c r="AG18" s="95">
        <v>4.0</v>
      </c>
      <c r="AH18" s="95">
        <v>4.0</v>
      </c>
      <c r="AI18" s="95">
        <v>4.0</v>
      </c>
      <c r="AJ18" s="95">
        <v>4.0</v>
      </c>
      <c r="AK18" s="98">
        <f t="shared" si="2"/>
        <v>124</v>
      </c>
      <c r="AL18" s="100">
        <f>IFERROR(AK19/AK18,"")</f>
        <v>0.5887096774</v>
      </c>
      <c r="AM18" s="101"/>
    </row>
    <row r="19" ht="15.75" customHeight="1">
      <c r="A19" s="64"/>
      <c r="B19" s="82"/>
      <c r="C19" s="78"/>
      <c r="D19" s="78"/>
      <c r="E19" s="94" t="s">
        <v>26</v>
      </c>
      <c r="F19" s="103">
        <v>2.0</v>
      </c>
      <c r="G19" s="103">
        <v>1.0</v>
      </c>
      <c r="H19" s="103">
        <v>2.0</v>
      </c>
      <c r="I19" s="103">
        <v>1.0</v>
      </c>
      <c r="J19" s="103">
        <v>3.0</v>
      </c>
      <c r="K19" s="103">
        <v>2.0</v>
      </c>
      <c r="L19" s="103">
        <v>1.0</v>
      </c>
      <c r="M19" s="103">
        <v>2.0</v>
      </c>
      <c r="N19" s="103">
        <v>3.0</v>
      </c>
      <c r="O19" s="103">
        <v>3.0</v>
      </c>
      <c r="P19" s="103">
        <v>2.0</v>
      </c>
      <c r="Q19" s="103">
        <v>3.0</v>
      </c>
      <c r="R19" s="103">
        <v>1.0</v>
      </c>
      <c r="S19" s="103">
        <v>3.0</v>
      </c>
      <c r="T19" s="103">
        <v>3.0</v>
      </c>
      <c r="U19" s="103">
        <v>4.0</v>
      </c>
      <c r="V19" s="103">
        <v>2.0</v>
      </c>
      <c r="W19" s="103">
        <v>2.0</v>
      </c>
      <c r="X19" s="103">
        <v>2.0</v>
      </c>
      <c r="Y19" s="103">
        <v>3.0</v>
      </c>
      <c r="Z19" s="103">
        <v>4.0</v>
      </c>
      <c r="AA19" s="103">
        <v>2.0</v>
      </c>
      <c r="AB19" s="103">
        <v>3.0</v>
      </c>
      <c r="AC19" s="103">
        <v>2.0</v>
      </c>
      <c r="AD19" s="103">
        <v>3.0</v>
      </c>
      <c r="AE19" s="103">
        <v>1.0</v>
      </c>
      <c r="AF19" s="103">
        <v>2.0</v>
      </c>
      <c r="AG19" s="103">
        <v>2.0</v>
      </c>
      <c r="AH19" s="103">
        <v>4.0</v>
      </c>
      <c r="AI19" s="103">
        <v>3.0</v>
      </c>
      <c r="AJ19" s="103">
        <v>2.0</v>
      </c>
      <c r="AK19" s="98">
        <f t="shared" si="2"/>
        <v>73</v>
      </c>
      <c r="AL19" s="78"/>
      <c r="AM19" s="101"/>
    </row>
    <row r="20" ht="15.75" customHeight="1">
      <c r="A20" s="64"/>
      <c r="B20" s="82"/>
      <c r="C20" s="89">
        <v>3.0</v>
      </c>
      <c r="D20" s="92" t="s">
        <v>74</v>
      </c>
      <c r="E20" s="94" t="s">
        <v>19</v>
      </c>
      <c r="F20" s="95">
        <v>2.0</v>
      </c>
      <c r="G20" s="95">
        <v>2.0</v>
      </c>
      <c r="H20" s="95">
        <v>2.0</v>
      </c>
      <c r="I20" s="95">
        <v>2.0</v>
      </c>
      <c r="J20" s="95">
        <v>2.0</v>
      </c>
      <c r="K20" s="95">
        <v>2.0</v>
      </c>
      <c r="L20" s="95">
        <v>2.0</v>
      </c>
      <c r="M20" s="95">
        <v>2.0</v>
      </c>
      <c r="N20" s="95">
        <v>2.0</v>
      </c>
      <c r="O20" s="95">
        <v>2.0</v>
      </c>
      <c r="P20" s="95">
        <v>2.0</v>
      </c>
      <c r="Q20" s="95">
        <v>2.0</v>
      </c>
      <c r="R20" s="95">
        <v>2.0</v>
      </c>
      <c r="S20" s="95">
        <v>2.0</v>
      </c>
      <c r="T20" s="95">
        <v>2.0</v>
      </c>
      <c r="U20" s="95">
        <v>2.0</v>
      </c>
      <c r="V20" s="95">
        <v>2.0</v>
      </c>
      <c r="W20" s="95">
        <v>2.0</v>
      </c>
      <c r="X20" s="95">
        <v>2.0</v>
      </c>
      <c r="Y20" s="95">
        <v>2.0</v>
      </c>
      <c r="Z20" s="95">
        <v>2.0</v>
      </c>
      <c r="AA20" s="95">
        <v>2.0</v>
      </c>
      <c r="AB20" s="95">
        <v>2.0</v>
      </c>
      <c r="AC20" s="95">
        <v>2.0</v>
      </c>
      <c r="AD20" s="95">
        <v>2.0</v>
      </c>
      <c r="AE20" s="95">
        <v>2.0</v>
      </c>
      <c r="AF20" s="95">
        <v>2.0</v>
      </c>
      <c r="AG20" s="95">
        <v>2.0</v>
      </c>
      <c r="AH20" s="95">
        <v>2.0</v>
      </c>
      <c r="AI20" s="95">
        <v>2.0</v>
      </c>
      <c r="AJ20" s="95">
        <v>2.0</v>
      </c>
      <c r="AK20" s="98">
        <f t="shared" si="2"/>
        <v>62</v>
      </c>
      <c r="AL20" s="100">
        <f>IFERROR(AK21/AK20,"")</f>
        <v>1</v>
      </c>
      <c r="AM20" s="101"/>
    </row>
    <row r="21" ht="15.75" customHeight="1">
      <c r="A21" s="64"/>
      <c r="B21" s="82"/>
      <c r="C21" s="78"/>
      <c r="D21" s="78"/>
      <c r="E21" s="94" t="s">
        <v>26</v>
      </c>
      <c r="F21" s="103">
        <v>1.0</v>
      </c>
      <c r="G21" s="103">
        <v>2.0</v>
      </c>
      <c r="H21" s="103">
        <v>1.0</v>
      </c>
      <c r="I21" s="103">
        <v>2.0</v>
      </c>
      <c r="J21" s="103">
        <v>3.0</v>
      </c>
      <c r="K21" s="103">
        <v>2.0</v>
      </c>
      <c r="L21" s="103">
        <v>1.0</v>
      </c>
      <c r="M21" s="103">
        <v>4.0</v>
      </c>
      <c r="N21" s="103">
        <v>3.0</v>
      </c>
      <c r="O21" s="103">
        <v>1.0</v>
      </c>
      <c r="P21" s="103">
        <v>2.0</v>
      </c>
      <c r="Q21" s="103">
        <v>3.0</v>
      </c>
      <c r="R21" s="103">
        <v>4.0</v>
      </c>
      <c r="S21" s="103">
        <v>2.0</v>
      </c>
      <c r="T21" s="103">
        <v>3.0</v>
      </c>
      <c r="U21" s="103">
        <v>4.0</v>
      </c>
      <c r="V21" s="103">
        <v>1.0</v>
      </c>
      <c r="W21" s="103">
        <v>2.0</v>
      </c>
      <c r="X21" s="103">
        <v>1.0</v>
      </c>
      <c r="Y21" s="103">
        <v>2.0</v>
      </c>
      <c r="Z21" s="103">
        <v>1.0</v>
      </c>
      <c r="AA21" s="103">
        <v>2.0</v>
      </c>
      <c r="AB21" s="103">
        <v>2.0</v>
      </c>
      <c r="AC21" s="103">
        <v>2.0</v>
      </c>
      <c r="AD21" s="103">
        <v>1.0</v>
      </c>
      <c r="AE21" s="103">
        <v>1.0</v>
      </c>
      <c r="AF21" s="103">
        <v>3.0</v>
      </c>
      <c r="AG21" s="103">
        <v>1.0</v>
      </c>
      <c r="AH21" s="103">
        <v>1.0</v>
      </c>
      <c r="AI21" s="103">
        <v>2.0</v>
      </c>
      <c r="AJ21" s="103">
        <v>2.0</v>
      </c>
      <c r="AK21" s="98">
        <f t="shared" si="2"/>
        <v>62</v>
      </c>
      <c r="AL21" s="78"/>
      <c r="AM21" s="101"/>
    </row>
    <row r="22" ht="15.75" customHeight="1">
      <c r="A22" s="64"/>
      <c r="B22" s="82"/>
      <c r="C22" s="89">
        <v>4.0</v>
      </c>
      <c r="D22" s="146" t="s">
        <v>88</v>
      </c>
      <c r="E22" s="94" t="s">
        <v>19</v>
      </c>
      <c r="F22" s="95">
        <v>7.0</v>
      </c>
      <c r="G22" s="95">
        <v>7.0</v>
      </c>
      <c r="H22" s="95">
        <v>7.0</v>
      </c>
      <c r="I22" s="95">
        <v>7.0</v>
      </c>
      <c r="J22" s="95">
        <v>7.0</v>
      </c>
      <c r="K22" s="95">
        <v>7.0</v>
      </c>
      <c r="L22" s="95">
        <v>7.0</v>
      </c>
      <c r="M22" s="95">
        <v>7.0</v>
      </c>
      <c r="N22" s="95">
        <v>7.0</v>
      </c>
      <c r="O22" s="95">
        <v>7.0</v>
      </c>
      <c r="P22" s="95">
        <v>7.0</v>
      </c>
      <c r="Q22" s="95">
        <v>7.0</v>
      </c>
      <c r="R22" s="95">
        <v>7.0</v>
      </c>
      <c r="S22" s="95">
        <v>7.0</v>
      </c>
      <c r="T22" s="95">
        <v>7.0</v>
      </c>
      <c r="U22" s="95">
        <v>7.0</v>
      </c>
      <c r="V22" s="95">
        <v>7.0</v>
      </c>
      <c r="W22" s="95">
        <v>7.0</v>
      </c>
      <c r="X22" s="95">
        <v>7.0</v>
      </c>
      <c r="Y22" s="95">
        <v>7.0</v>
      </c>
      <c r="Z22" s="95">
        <v>7.0</v>
      </c>
      <c r="AA22" s="95">
        <v>7.0</v>
      </c>
      <c r="AB22" s="95">
        <v>7.0</v>
      </c>
      <c r="AC22" s="95">
        <v>7.0</v>
      </c>
      <c r="AD22" s="95">
        <v>7.0</v>
      </c>
      <c r="AE22" s="95">
        <v>7.0</v>
      </c>
      <c r="AF22" s="95">
        <v>7.0</v>
      </c>
      <c r="AG22" s="95">
        <v>7.0</v>
      </c>
      <c r="AH22" s="95">
        <v>7.0</v>
      </c>
      <c r="AI22" s="95">
        <v>7.0</v>
      </c>
      <c r="AJ22" s="95">
        <v>7.0</v>
      </c>
      <c r="AK22" s="98">
        <f t="shared" si="2"/>
        <v>217</v>
      </c>
      <c r="AL22" s="100">
        <f>IFERROR(AK23/AK22,"")</f>
        <v>0.8156682028</v>
      </c>
      <c r="AM22" s="101"/>
    </row>
    <row r="23" ht="15.75" customHeight="1">
      <c r="A23" s="64"/>
      <c r="B23" s="78"/>
      <c r="C23" s="78"/>
      <c r="D23" s="78"/>
      <c r="E23" s="94" t="s">
        <v>26</v>
      </c>
      <c r="F23" s="103">
        <v>6.0</v>
      </c>
      <c r="G23" s="103">
        <v>4.0</v>
      </c>
      <c r="H23" s="103">
        <v>5.0</v>
      </c>
      <c r="I23" s="103">
        <v>4.0</v>
      </c>
      <c r="J23" s="103">
        <v>5.0</v>
      </c>
      <c r="K23" s="103">
        <v>6.0</v>
      </c>
      <c r="L23" s="103">
        <v>7.0</v>
      </c>
      <c r="M23" s="103">
        <v>4.0</v>
      </c>
      <c r="N23" s="103">
        <v>5.0</v>
      </c>
      <c r="O23" s="103">
        <v>5.0</v>
      </c>
      <c r="P23" s="103">
        <v>7.0</v>
      </c>
      <c r="Q23" s="103">
        <v>6.0</v>
      </c>
      <c r="R23" s="103">
        <v>8.0</v>
      </c>
      <c r="S23" s="103">
        <v>4.0</v>
      </c>
      <c r="T23" s="103">
        <v>8.0</v>
      </c>
      <c r="U23" s="103">
        <v>4.0</v>
      </c>
      <c r="V23" s="103">
        <v>6.0</v>
      </c>
      <c r="W23" s="103">
        <v>5.0</v>
      </c>
      <c r="X23" s="103">
        <v>7.0</v>
      </c>
      <c r="Y23" s="103">
        <v>4.0</v>
      </c>
      <c r="Z23" s="103">
        <v>8.0</v>
      </c>
      <c r="AA23" s="103">
        <v>5.0</v>
      </c>
      <c r="AB23" s="103">
        <v>7.0</v>
      </c>
      <c r="AC23" s="103">
        <v>6.0</v>
      </c>
      <c r="AD23" s="103">
        <v>4.0</v>
      </c>
      <c r="AE23" s="103">
        <v>7.0</v>
      </c>
      <c r="AF23" s="103">
        <v>8.0</v>
      </c>
      <c r="AG23" s="103">
        <v>5.0</v>
      </c>
      <c r="AH23" s="103">
        <v>4.0</v>
      </c>
      <c r="AI23" s="103">
        <v>6.0</v>
      </c>
      <c r="AJ23" s="103">
        <v>7.0</v>
      </c>
      <c r="AK23" s="98">
        <f t="shared" si="2"/>
        <v>177</v>
      </c>
      <c r="AL23" s="78"/>
      <c r="AM23" s="101"/>
    </row>
    <row r="24" ht="15.75" customHeight="1">
      <c r="A24" s="58"/>
      <c r="B24" s="165" t="s">
        <v>101</v>
      </c>
      <c r="C24" s="166">
        <v>1.0</v>
      </c>
      <c r="D24" s="92" t="s">
        <v>109</v>
      </c>
      <c r="E24" s="94" t="s">
        <v>19</v>
      </c>
      <c r="F24" s="167">
        <v>1000000.0</v>
      </c>
      <c r="G24" s="167">
        <v>1000000.0</v>
      </c>
      <c r="H24" s="167">
        <v>1000000.0</v>
      </c>
      <c r="I24" s="167">
        <v>1000000.0</v>
      </c>
      <c r="J24" s="167">
        <v>1000000.0</v>
      </c>
      <c r="K24" s="167">
        <v>1000000.0</v>
      </c>
      <c r="L24" s="167">
        <v>1000000.0</v>
      </c>
      <c r="M24" s="167">
        <v>1000000.0</v>
      </c>
      <c r="N24" s="167">
        <v>1000000.0</v>
      </c>
      <c r="O24" s="167">
        <v>1000000.0</v>
      </c>
      <c r="P24" s="167">
        <v>1000000.0</v>
      </c>
      <c r="Q24" s="167">
        <v>1000000.0</v>
      </c>
      <c r="R24" s="167">
        <v>1000000.0</v>
      </c>
      <c r="S24" s="167">
        <v>1000000.0</v>
      </c>
      <c r="T24" s="167">
        <v>1000000.0</v>
      </c>
      <c r="U24" s="167">
        <v>1000000.0</v>
      </c>
      <c r="V24" s="167">
        <v>1000000.0</v>
      </c>
      <c r="W24" s="167">
        <v>1000000.0</v>
      </c>
      <c r="X24" s="167">
        <v>1000000.0</v>
      </c>
      <c r="Y24" s="167">
        <v>1000000.0</v>
      </c>
      <c r="Z24" s="167">
        <v>1000000.0</v>
      </c>
      <c r="AA24" s="167">
        <v>1000000.0</v>
      </c>
      <c r="AB24" s="167">
        <v>1000000.0</v>
      </c>
      <c r="AC24" s="167">
        <v>1000000.0</v>
      </c>
      <c r="AD24" s="167">
        <v>1000000.0</v>
      </c>
      <c r="AE24" s="167">
        <v>1000000.0</v>
      </c>
      <c r="AF24" s="167">
        <v>1000000.0</v>
      </c>
      <c r="AG24" s="167">
        <v>1000000.0</v>
      </c>
      <c r="AH24" s="167">
        <v>1000000.0</v>
      </c>
      <c r="AI24" s="167">
        <v>1000000.0</v>
      </c>
      <c r="AJ24" s="167">
        <v>1000000.0</v>
      </c>
      <c r="AK24" s="168">
        <f t="shared" si="2"/>
        <v>31000000</v>
      </c>
      <c r="AL24" s="100">
        <f>IFERROR(AK25/AK24,"")</f>
        <v>0.8877419355</v>
      </c>
      <c r="AM24" s="101"/>
    </row>
    <row r="25" ht="15.75" customHeight="1">
      <c r="A25" s="58"/>
      <c r="B25" s="82"/>
      <c r="C25" s="78"/>
      <c r="D25" s="78"/>
      <c r="E25" s="94" t="s">
        <v>26</v>
      </c>
      <c r="F25" s="169">
        <v>800000.0</v>
      </c>
      <c r="G25" s="169">
        <v>850000.0</v>
      </c>
      <c r="H25" s="169">
        <v>860000.0</v>
      </c>
      <c r="I25" s="169">
        <v>880000.0</v>
      </c>
      <c r="J25" s="169">
        <v>1000000.0</v>
      </c>
      <c r="K25" s="169">
        <v>900000.0</v>
      </c>
      <c r="L25" s="169">
        <v>920000.0</v>
      </c>
      <c r="M25" s="169">
        <v>930000.0</v>
      </c>
      <c r="N25" s="169">
        <v>940000.0</v>
      </c>
      <c r="O25" s="169">
        <v>950000.0</v>
      </c>
      <c r="P25" s="169">
        <v>1050000.0</v>
      </c>
      <c r="Q25" s="169">
        <v>960000.0</v>
      </c>
      <c r="R25" s="169">
        <v>940000.0</v>
      </c>
      <c r="S25" s="169">
        <v>750000.0</v>
      </c>
      <c r="T25" s="169">
        <v>780000.0</v>
      </c>
      <c r="U25" s="169">
        <v>820000.0</v>
      </c>
      <c r="V25" s="169">
        <v>850000.0</v>
      </c>
      <c r="W25" s="169">
        <v>920000.0</v>
      </c>
      <c r="X25" s="169">
        <v>1020000.0</v>
      </c>
      <c r="Y25" s="169">
        <v>1030000.0</v>
      </c>
      <c r="Z25" s="169">
        <v>1040000.0</v>
      </c>
      <c r="AA25" s="169">
        <v>880000.0</v>
      </c>
      <c r="AB25" s="169">
        <v>750000.0</v>
      </c>
      <c r="AC25" s="169">
        <v>780000.0</v>
      </c>
      <c r="AD25" s="169">
        <v>700000.0</v>
      </c>
      <c r="AE25" s="169">
        <v>800000.0</v>
      </c>
      <c r="AF25" s="169">
        <v>840000.0</v>
      </c>
      <c r="AG25" s="169">
        <v>800000.0</v>
      </c>
      <c r="AH25" s="169">
        <v>890000.0</v>
      </c>
      <c r="AI25" s="169">
        <v>940000.0</v>
      </c>
      <c r="AJ25" s="169">
        <v>950000.0</v>
      </c>
      <c r="AK25" s="168">
        <f t="shared" si="2"/>
        <v>27520000</v>
      </c>
      <c r="AL25" s="78"/>
      <c r="AM25" s="101"/>
    </row>
    <row r="26" ht="15.75" customHeight="1">
      <c r="A26" s="58"/>
      <c r="B26" s="82"/>
      <c r="C26" s="166">
        <v>2.0</v>
      </c>
      <c r="D26" s="92" t="s">
        <v>145</v>
      </c>
      <c r="E26" s="94" t="s">
        <v>19</v>
      </c>
      <c r="F26" s="167">
        <v>200000.0</v>
      </c>
      <c r="G26" s="167">
        <v>200000.0</v>
      </c>
      <c r="H26" s="167">
        <v>200000.0</v>
      </c>
      <c r="I26" s="167">
        <v>200000.0</v>
      </c>
      <c r="J26" s="167">
        <v>200000.0</v>
      </c>
      <c r="K26" s="167">
        <v>200000.0</v>
      </c>
      <c r="L26" s="167">
        <v>200000.0</v>
      </c>
      <c r="M26" s="167">
        <v>200000.0</v>
      </c>
      <c r="N26" s="167">
        <v>200000.0</v>
      </c>
      <c r="O26" s="167">
        <v>200000.0</v>
      </c>
      <c r="P26" s="167">
        <v>200000.0</v>
      </c>
      <c r="Q26" s="167">
        <v>200000.0</v>
      </c>
      <c r="R26" s="167">
        <v>200000.0</v>
      </c>
      <c r="S26" s="167">
        <v>200000.0</v>
      </c>
      <c r="T26" s="167">
        <v>200000.0</v>
      </c>
      <c r="U26" s="167">
        <v>200000.0</v>
      </c>
      <c r="V26" s="167">
        <v>200000.0</v>
      </c>
      <c r="W26" s="167">
        <v>200000.0</v>
      </c>
      <c r="X26" s="167">
        <v>200000.0</v>
      </c>
      <c r="Y26" s="167">
        <v>200000.0</v>
      </c>
      <c r="Z26" s="167">
        <v>200000.0</v>
      </c>
      <c r="AA26" s="167">
        <v>200000.0</v>
      </c>
      <c r="AB26" s="167">
        <v>200000.0</v>
      </c>
      <c r="AC26" s="167">
        <v>200000.0</v>
      </c>
      <c r="AD26" s="167">
        <v>200000.0</v>
      </c>
      <c r="AE26" s="167">
        <v>200000.0</v>
      </c>
      <c r="AF26" s="167">
        <v>200000.0</v>
      </c>
      <c r="AG26" s="167">
        <v>200000.0</v>
      </c>
      <c r="AH26" s="167">
        <v>200000.0</v>
      </c>
      <c r="AI26" s="167">
        <v>200000.0</v>
      </c>
      <c r="AJ26" s="167">
        <v>200000.0</v>
      </c>
      <c r="AK26" s="168">
        <f t="shared" si="2"/>
        <v>6200000</v>
      </c>
      <c r="AL26" s="100">
        <f>IFERROR(AK26/AK27,"")</f>
        <v>1.015394694</v>
      </c>
      <c r="AM26" s="101"/>
    </row>
    <row r="27" ht="15.75" customHeight="1">
      <c r="A27" s="58"/>
      <c r="B27" s="82"/>
      <c r="C27" s="78"/>
      <c r="D27" s="78"/>
      <c r="E27" s="94" t="s">
        <v>26</v>
      </c>
      <c r="F27" s="169">
        <v>180000.0</v>
      </c>
      <c r="G27" s="169">
        <v>190000.0</v>
      </c>
      <c r="H27" s="169">
        <v>200000.0</v>
      </c>
      <c r="I27" s="169">
        <v>210000.0</v>
      </c>
      <c r="J27" s="169">
        <v>200000.0</v>
      </c>
      <c r="K27" s="169">
        <v>195000.0</v>
      </c>
      <c r="L27" s="169">
        <v>170000.0</v>
      </c>
      <c r="M27" s="169">
        <v>175000.0</v>
      </c>
      <c r="N27" s="169">
        <v>150000.0</v>
      </c>
      <c r="O27" s="169">
        <v>155000.0</v>
      </c>
      <c r="P27" s="169">
        <v>220000.0</v>
      </c>
      <c r="Q27" s="169">
        <v>230000.0</v>
      </c>
      <c r="R27" s="169">
        <v>200000.0</v>
      </c>
      <c r="S27" s="169">
        <v>195000.0</v>
      </c>
      <c r="T27" s="169">
        <v>200000.0</v>
      </c>
      <c r="U27" s="169">
        <v>210000.0</v>
      </c>
      <c r="V27" s="169">
        <v>205000.0</v>
      </c>
      <c r="W27" s="169">
        <v>220000.0</v>
      </c>
      <c r="X27" s="169">
        <v>185000.0</v>
      </c>
      <c r="Y27" s="169">
        <v>188000.0</v>
      </c>
      <c r="Z27" s="169">
        <v>178000.0</v>
      </c>
      <c r="AA27" s="169">
        <v>195000.0</v>
      </c>
      <c r="AB27" s="169">
        <v>190000.0</v>
      </c>
      <c r="AC27" s="169">
        <v>192000.0</v>
      </c>
      <c r="AD27" s="169">
        <v>198000.0</v>
      </c>
      <c r="AE27" s="169">
        <v>200000.0</v>
      </c>
      <c r="AF27" s="169">
        <v>205000.0</v>
      </c>
      <c r="AG27" s="169">
        <v>210000.0</v>
      </c>
      <c r="AH27" s="169">
        <v>215000.0</v>
      </c>
      <c r="AI27" s="169">
        <v>220000.0</v>
      </c>
      <c r="AJ27" s="169">
        <v>225000.0</v>
      </c>
      <c r="AK27" s="168">
        <f t="shared" si="2"/>
        <v>6106000</v>
      </c>
      <c r="AL27" s="78"/>
      <c r="AM27" s="101"/>
    </row>
    <row r="28" ht="15.75" customHeight="1">
      <c r="A28" s="58"/>
      <c r="B28" s="82"/>
      <c r="C28" s="166">
        <v>3.0</v>
      </c>
      <c r="D28" s="175" t="s">
        <v>166</v>
      </c>
      <c r="E28" s="94" t="s">
        <v>19</v>
      </c>
      <c r="F28" s="167">
        <v>800000.0</v>
      </c>
      <c r="G28" s="167">
        <v>800000.0</v>
      </c>
      <c r="H28" s="167">
        <v>800000.0</v>
      </c>
      <c r="I28" s="167">
        <v>800000.0</v>
      </c>
      <c r="J28" s="167">
        <v>800000.0</v>
      </c>
      <c r="K28" s="167">
        <v>800000.0</v>
      </c>
      <c r="L28" s="167">
        <v>800000.0</v>
      </c>
      <c r="M28" s="167">
        <v>800000.0</v>
      </c>
      <c r="N28" s="167">
        <v>800000.0</v>
      </c>
      <c r="O28" s="167">
        <v>800000.0</v>
      </c>
      <c r="P28" s="167">
        <v>800000.0</v>
      </c>
      <c r="Q28" s="167">
        <v>800000.0</v>
      </c>
      <c r="R28" s="167">
        <v>800000.0</v>
      </c>
      <c r="S28" s="167">
        <v>800000.0</v>
      </c>
      <c r="T28" s="167">
        <v>800000.0</v>
      </c>
      <c r="U28" s="167">
        <v>800000.0</v>
      </c>
      <c r="V28" s="167">
        <v>800000.0</v>
      </c>
      <c r="W28" s="167">
        <v>800000.0</v>
      </c>
      <c r="X28" s="167">
        <v>800000.0</v>
      </c>
      <c r="Y28" s="167">
        <v>800000.0</v>
      </c>
      <c r="Z28" s="167">
        <v>800000.0</v>
      </c>
      <c r="AA28" s="167">
        <v>800000.0</v>
      </c>
      <c r="AB28" s="167">
        <v>800000.0</v>
      </c>
      <c r="AC28" s="167">
        <v>800000.0</v>
      </c>
      <c r="AD28" s="167">
        <v>800000.0</v>
      </c>
      <c r="AE28" s="167">
        <v>800000.0</v>
      </c>
      <c r="AF28" s="167">
        <v>800000.0</v>
      </c>
      <c r="AG28" s="167">
        <v>800000.0</v>
      </c>
      <c r="AH28" s="167">
        <v>800000.0</v>
      </c>
      <c r="AI28" s="167">
        <v>800000.0</v>
      </c>
      <c r="AJ28" s="167">
        <v>800000.0</v>
      </c>
      <c r="AK28" s="168">
        <f t="shared" si="2"/>
        <v>24800000</v>
      </c>
      <c r="AL28" s="100">
        <f>IFERROR(AK29/AK28,"")</f>
        <v>0.8634677419</v>
      </c>
      <c r="AM28" s="101"/>
    </row>
    <row r="29" ht="15.75" customHeight="1">
      <c r="A29" s="58"/>
      <c r="B29" s="78"/>
      <c r="C29" s="78"/>
      <c r="D29" s="78"/>
      <c r="E29" s="94" t="s">
        <v>26</v>
      </c>
      <c r="F29" s="176">
        <f t="shared" ref="F29:AJ29" si="3">F25-F27</f>
        <v>620000</v>
      </c>
      <c r="G29" s="176">
        <f t="shared" si="3"/>
        <v>660000</v>
      </c>
      <c r="H29" s="176">
        <f t="shared" si="3"/>
        <v>660000</v>
      </c>
      <c r="I29" s="176">
        <f t="shared" si="3"/>
        <v>670000</v>
      </c>
      <c r="J29" s="176">
        <f t="shared" si="3"/>
        <v>800000</v>
      </c>
      <c r="K29" s="176">
        <f t="shared" si="3"/>
        <v>705000</v>
      </c>
      <c r="L29" s="176">
        <f t="shared" si="3"/>
        <v>750000</v>
      </c>
      <c r="M29" s="176">
        <f t="shared" si="3"/>
        <v>755000</v>
      </c>
      <c r="N29" s="176">
        <f t="shared" si="3"/>
        <v>790000</v>
      </c>
      <c r="O29" s="176">
        <f t="shared" si="3"/>
        <v>795000</v>
      </c>
      <c r="P29" s="176">
        <f t="shared" si="3"/>
        <v>830000</v>
      </c>
      <c r="Q29" s="176">
        <f t="shared" si="3"/>
        <v>730000</v>
      </c>
      <c r="R29" s="176">
        <f t="shared" si="3"/>
        <v>740000</v>
      </c>
      <c r="S29" s="176">
        <f t="shared" si="3"/>
        <v>555000</v>
      </c>
      <c r="T29" s="176">
        <f t="shared" si="3"/>
        <v>580000</v>
      </c>
      <c r="U29" s="176">
        <f t="shared" si="3"/>
        <v>610000</v>
      </c>
      <c r="V29" s="176">
        <f t="shared" si="3"/>
        <v>645000</v>
      </c>
      <c r="W29" s="176">
        <f t="shared" si="3"/>
        <v>700000</v>
      </c>
      <c r="X29" s="176">
        <f t="shared" si="3"/>
        <v>835000</v>
      </c>
      <c r="Y29" s="176">
        <f t="shared" si="3"/>
        <v>842000</v>
      </c>
      <c r="Z29" s="176">
        <f t="shared" si="3"/>
        <v>862000</v>
      </c>
      <c r="AA29" s="176">
        <f t="shared" si="3"/>
        <v>685000</v>
      </c>
      <c r="AB29" s="176">
        <f t="shared" si="3"/>
        <v>560000</v>
      </c>
      <c r="AC29" s="176">
        <f t="shared" si="3"/>
        <v>588000</v>
      </c>
      <c r="AD29" s="176">
        <f t="shared" si="3"/>
        <v>502000</v>
      </c>
      <c r="AE29" s="176">
        <f t="shared" si="3"/>
        <v>600000</v>
      </c>
      <c r="AF29" s="176">
        <f t="shared" si="3"/>
        <v>635000</v>
      </c>
      <c r="AG29" s="176">
        <f t="shared" si="3"/>
        <v>590000</v>
      </c>
      <c r="AH29" s="176">
        <f t="shared" si="3"/>
        <v>675000</v>
      </c>
      <c r="AI29" s="176">
        <f t="shared" si="3"/>
        <v>720000</v>
      </c>
      <c r="AJ29" s="176">
        <f t="shared" si="3"/>
        <v>725000</v>
      </c>
      <c r="AK29" s="168">
        <f t="shared" si="2"/>
        <v>21414000</v>
      </c>
      <c r="AL29" s="78"/>
      <c r="AM29" s="101"/>
    </row>
    <row r="30" ht="15.75" customHeight="1">
      <c r="A30" s="58"/>
      <c r="B30" s="58"/>
      <c r="C30" s="58"/>
      <c r="D30" s="58"/>
      <c r="E30" s="177"/>
      <c r="F30" s="178"/>
      <c r="G30" s="178"/>
      <c r="H30" s="178"/>
      <c r="I30" s="178"/>
      <c r="J30" s="178"/>
      <c r="K30" s="178"/>
      <c r="L30" s="178"/>
      <c r="M30" s="178"/>
      <c r="N30" s="178"/>
      <c r="O30" s="178"/>
      <c r="P30" s="178"/>
      <c r="Q30" s="178"/>
      <c r="R30" s="178"/>
      <c r="S30" s="178"/>
      <c r="T30" s="178"/>
      <c r="U30" s="178"/>
      <c r="V30" s="178"/>
      <c r="W30" s="178"/>
      <c r="X30" s="178"/>
      <c r="Y30" s="178"/>
      <c r="Z30" s="178"/>
      <c r="AA30" s="178"/>
      <c r="AB30" s="178"/>
      <c r="AC30" s="178"/>
      <c r="AD30" s="178"/>
      <c r="AE30" s="178"/>
      <c r="AF30" s="178"/>
      <c r="AG30" s="178"/>
      <c r="AH30" s="178"/>
      <c r="AI30" s="178"/>
      <c r="AJ30" s="178"/>
      <c r="AK30" s="178"/>
      <c r="AL30" s="101"/>
      <c r="AM30" s="179">
        <v>0.01</v>
      </c>
    </row>
  </sheetData>
  <mergeCells count="50">
    <mergeCell ref="AL16:AL17"/>
    <mergeCell ref="AL18:AL19"/>
    <mergeCell ref="AL20:AL21"/>
    <mergeCell ref="AL22:AL23"/>
    <mergeCell ref="AL24:AL25"/>
    <mergeCell ref="AL26:AL27"/>
    <mergeCell ref="AL28:AL29"/>
    <mergeCell ref="AH2:AJ2"/>
    <mergeCell ref="AL4:AL5"/>
    <mergeCell ref="AL6:AL7"/>
    <mergeCell ref="AL8:AL9"/>
    <mergeCell ref="AL10:AL11"/>
    <mergeCell ref="AL12:AL13"/>
    <mergeCell ref="AL14:AL15"/>
    <mergeCell ref="D16:D17"/>
    <mergeCell ref="C18:C19"/>
    <mergeCell ref="D18:D19"/>
    <mergeCell ref="B24:B29"/>
    <mergeCell ref="C24:C25"/>
    <mergeCell ref="C26:C27"/>
    <mergeCell ref="C28:C29"/>
    <mergeCell ref="D24:D25"/>
    <mergeCell ref="D26:D27"/>
    <mergeCell ref="D28:D29"/>
    <mergeCell ref="C8:C9"/>
    <mergeCell ref="D8:D9"/>
    <mergeCell ref="B10:B15"/>
    <mergeCell ref="C10:C11"/>
    <mergeCell ref="D10:D11"/>
    <mergeCell ref="D12:D13"/>
    <mergeCell ref="B16:B23"/>
    <mergeCell ref="B3:C3"/>
    <mergeCell ref="C4:C5"/>
    <mergeCell ref="C6:C7"/>
    <mergeCell ref="D6:D7"/>
    <mergeCell ref="B2:D2"/>
    <mergeCell ref="F2:L2"/>
    <mergeCell ref="M2:S2"/>
    <mergeCell ref="T2:Z2"/>
    <mergeCell ref="AA2:AG2"/>
    <mergeCell ref="B4:B9"/>
    <mergeCell ref="D4:D5"/>
    <mergeCell ref="C14:C15"/>
    <mergeCell ref="D14:D15"/>
    <mergeCell ref="C12:C13"/>
    <mergeCell ref="C16:C17"/>
    <mergeCell ref="C20:C21"/>
    <mergeCell ref="D20:D21"/>
    <mergeCell ref="C22:C23"/>
    <mergeCell ref="D22:D23"/>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outlineLevelCol="4"/>
  <cols>
    <col customWidth="1" min="1" max="1" width="2.75"/>
    <col customWidth="1" min="2" max="2" width="5.63"/>
    <col customWidth="1" min="3" max="3" width="4.63"/>
    <col customWidth="1" min="4" max="4" width="19.25"/>
    <col customWidth="1" min="5" max="5" width="5.13"/>
    <col customWidth="1" min="6" max="10" width="9.63"/>
    <col customWidth="1" min="11" max="15" width="10.63"/>
    <col customWidth="1" min="16" max="17" width="11.75"/>
    <col customWidth="1" min="18" max="18" width="12.75"/>
    <col customWidth="1" min="19" max="19" width="9.63"/>
    <col customWidth="1" min="20" max="20" width="2.75"/>
  </cols>
  <sheetData>
    <row r="1" ht="15.75" customHeight="1">
      <c r="A1" s="58"/>
      <c r="B1" s="58"/>
      <c r="C1" s="58"/>
      <c r="D1" s="58"/>
      <c r="E1" s="59"/>
      <c r="F1" s="59"/>
      <c r="G1" s="59"/>
      <c r="H1" s="59"/>
      <c r="I1" s="59"/>
      <c r="J1" s="59"/>
      <c r="K1" s="59"/>
      <c r="L1" s="59"/>
      <c r="M1" s="59"/>
      <c r="N1" s="59"/>
      <c r="O1" s="59"/>
      <c r="P1" s="59"/>
      <c r="Q1" s="59"/>
      <c r="R1" s="59"/>
      <c r="S1" s="64"/>
      <c r="T1" s="64"/>
    </row>
    <row r="2" ht="15.75" customHeight="1">
      <c r="A2" s="58"/>
      <c r="B2" s="65" t="s">
        <v>21</v>
      </c>
      <c r="C2" s="63"/>
      <c r="D2" s="66"/>
      <c r="E2" s="67"/>
      <c r="F2" s="68" t="s">
        <v>22</v>
      </c>
      <c r="G2" s="63"/>
      <c r="H2" s="63"/>
      <c r="I2" s="66"/>
      <c r="J2" s="68" t="s">
        <v>23</v>
      </c>
      <c r="K2" s="63"/>
      <c r="L2" s="63"/>
      <c r="M2" s="66"/>
      <c r="N2" s="68" t="s">
        <v>24</v>
      </c>
      <c r="O2" s="63"/>
      <c r="P2" s="63"/>
      <c r="Q2" s="66"/>
      <c r="R2" s="69"/>
      <c r="S2" s="71"/>
      <c r="T2" s="64"/>
    </row>
    <row r="3" ht="15.75" customHeight="1">
      <c r="A3" s="58"/>
      <c r="B3" s="72"/>
      <c r="C3" s="66"/>
      <c r="D3" s="75" t="s">
        <v>7</v>
      </c>
      <c r="E3" s="76"/>
      <c r="F3" s="79" t="s">
        <v>25</v>
      </c>
      <c r="G3" s="79" t="s">
        <v>6</v>
      </c>
      <c r="H3" s="79" t="s">
        <v>27</v>
      </c>
      <c r="I3" s="79" t="s">
        <v>28</v>
      </c>
      <c r="J3" s="79" t="s">
        <v>29</v>
      </c>
      <c r="K3" s="79" t="s">
        <v>30</v>
      </c>
      <c r="L3" s="79" t="s">
        <v>31</v>
      </c>
      <c r="M3" s="79" t="s">
        <v>32</v>
      </c>
      <c r="N3" s="79" t="s">
        <v>33</v>
      </c>
      <c r="O3" s="79" t="s">
        <v>34</v>
      </c>
      <c r="P3" s="79" t="s">
        <v>35</v>
      </c>
      <c r="Q3" s="79" t="s">
        <v>36</v>
      </c>
      <c r="R3" s="79" t="s">
        <v>37</v>
      </c>
      <c r="S3" s="85" t="s">
        <v>249</v>
      </c>
      <c r="T3" s="58"/>
    </row>
    <row r="4" ht="15.75" customHeight="1">
      <c r="A4" s="64"/>
      <c r="B4" s="88" t="s">
        <v>17</v>
      </c>
      <c r="C4" s="89">
        <v>1.0</v>
      </c>
      <c r="D4" s="92" t="s">
        <v>18</v>
      </c>
      <c r="E4" s="94" t="s">
        <v>19</v>
      </c>
      <c r="F4" s="196"/>
      <c r="G4" s="196"/>
      <c r="H4" s="196"/>
      <c r="I4" s="196"/>
      <c r="J4" s="196"/>
      <c r="K4" s="196"/>
      <c r="L4" s="196"/>
      <c r="M4" s="196"/>
      <c r="N4" s="196"/>
      <c r="O4" s="196"/>
      <c r="P4" s="196"/>
      <c r="Q4" s="196"/>
      <c r="R4" s="98">
        <f t="shared" ref="R4:R22" si="1">SUM(F4:Q4)</f>
        <v>0</v>
      </c>
      <c r="S4" s="100" t="str">
        <f>IFERROR(R5/R4,"")</f>
        <v/>
      </c>
      <c r="T4" s="101"/>
    </row>
    <row r="5" ht="15.75" customHeight="1">
      <c r="A5" s="64"/>
      <c r="B5" s="82"/>
      <c r="C5" s="78"/>
      <c r="D5" s="78"/>
      <c r="E5" s="94" t="s">
        <v>26</v>
      </c>
      <c r="F5" s="103"/>
      <c r="G5" s="103"/>
      <c r="H5" s="235"/>
      <c r="I5" s="235"/>
      <c r="J5" s="235"/>
      <c r="K5" s="235"/>
      <c r="L5" s="235"/>
      <c r="M5" s="235"/>
      <c r="N5" s="235"/>
      <c r="O5" s="235"/>
      <c r="P5" s="235"/>
      <c r="Q5" s="235"/>
      <c r="R5" s="98">
        <f t="shared" si="1"/>
        <v>0</v>
      </c>
      <c r="S5" s="78"/>
      <c r="T5" s="101"/>
    </row>
    <row r="6" ht="15.75" customHeight="1">
      <c r="A6" s="64"/>
      <c r="B6" s="82"/>
      <c r="C6" s="89">
        <v>2.0</v>
      </c>
      <c r="D6" s="111" t="s">
        <v>40</v>
      </c>
      <c r="E6" s="94" t="s">
        <v>19</v>
      </c>
      <c r="F6" s="196"/>
      <c r="G6" s="196"/>
      <c r="H6" s="196"/>
      <c r="I6" s="196"/>
      <c r="J6" s="196"/>
      <c r="K6" s="196"/>
      <c r="L6" s="196"/>
      <c r="M6" s="196"/>
      <c r="N6" s="196"/>
      <c r="O6" s="196"/>
      <c r="P6" s="196"/>
      <c r="Q6" s="196"/>
      <c r="R6" s="98">
        <f t="shared" si="1"/>
        <v>0</v>
      </c>
      <c r="S6" s="100" t="str">
        <f>IFERROR(R7/R6,"")</f>
        <v/>
      </c>
      <c r="T6" s="101"/>
    </row>
    <row r="7" ht="15.75" customHeight="1">
      <c r="A7" s="64"/>
      <c r="B7" s="82"/>
      <c r="C7" s="78"/>
      <c r="E7" s="94" t="s">
        <v>26</v>
      </c>
      <c r="F7" s="235"/>
      <c r="G7" s="235"/>
      <c r="H7" s="235"/>
      <c r="I7" s="235"/>
      <c r="J7" s="235"/>
      <c r="K7" s="235"/>
      <c r="L7" s="235"/>
      <c r="M7" s="235"/>
      <c r="N7" s="235"/>
      <c r="O7" s="235"/>
      <c r="P7" s="235"/>
      <c r="Q7" s="235"/>
      <c r="R7" s="98">
        <f t="shared" si="1"/>
        <v>0</v>
      </c>
      <c r="S7" s="78"/>
      <c r="T7" s="101"/>
    </row>
    <row r="8" ht="15.75" customHeight="1">
      <c r="A8" s="64"/>
      <c r="B8" s="82"/>
      <c r="C8" s="89">
        <v>3.0</v>
      </c>
      <c r="D8" s="92" t="s">
        <v>42</v>
      </c>
      <c r="E8" s="94" t="s">
        <v>19</v>
      </c>
      <c r="F8" s="196"/>
      <c r="G8" s="196"/>
      <c r="H8" s="196"/>
      <c r="I8" s="196"/>
      <c r="J8" s="196"/>
      <c r="K8" s="196"/>
      <c r="L8" s="196"/>
      <c r="M8" s="196"/>
      <c r="N8" s="196"/>
      <c r="O8" s="196"/>
      <c r="P8" s="196"/>
      <c r="Q8" s="196"/>
      <c r="R8" s="98">
        <f t="shared" si="1"/>
        <v>0</v>
      </c>
      <c r="S8" s="100" t="str">
        <f>IFERROR(R9/R8,"")</f>
        <v/>
      </c>
      <c r="T8" s="101"/>
    </row>
    <row r="9" ht="15.75" customHeight="1">
      <c r="A9" s="64"/>
      <c r="B9" s="78"/>
      <c r="C9" s="78"/>
      <c r="D9" s="78"/>
      <c r="E9" s="94" t="s">
        <v>26</v>
      </c>
      <c r="F9" s="235"/>
      <c r="G9" s="235"/>
      <c r="H9" s="235"/>
      <c r="I9" s="235"/>
      <c r="J9" s="235"/>
      <c r="K9" s="235"/>
      <c r="L9" s="235"/>
      <c r="M9" s="235"/>
      <c r="N9" s="235"/>
      <c r="O9" s="235"/>
      <c r="P9" s="235"/>
      <c r="Q9" s="235"/>
      <c r="R9" s="98">
        <f t="shared" si="1"/>
        <v>0</v>
      </c>
      <c r="S9" s="78"/>
      <c r="T9" s="101"/>
    </row>
    <row r="10" ht="15.75" customHeight="1">
      <c r="A10" s="64"/>
      <c r="B10" s="88" t="s">
        <v>44</v>
      </c>
      <c r="C10" s="89">
        <v>1.0</v>
      </c>
      <c r="D10" s="92" t="s">
        <v>46</v>
      </c>
      <c r="E10" s="94" t="s">
        <v>19</v>
      </c>
      <c r="F10" s="196"/>
      <c r="G10" s="196"/>
      <c r="H10" s="196"/>
      <c r="I10" s="196"/>
      <c r="J10" s="196"/>
      <c r="K10" s="196"/>
      <c r="L10" s="196"/>
      <c r="M10" s="196"/>
      <c r="N10" s="196"/>
      <c r="O10" s="196"/>
      <c r="P10" s="196"/>
      <c r="Q10" s="196"/>
      <c r="R10" s="98">
        <f t="shared" si="1"/>
        <v>0</v>
      </c>
      <c r="S10" s="100" t="str">
        <f>IFERROR(R11/R10,"")</f>
        <v/>
      </c>
      <c r="T10" s="101"/>
    </row>
    <row r="11" ht="15.75" customHeight="1">
      <c r="A11" s="64"/>
      <c r="B11" s="82"/>
      <c r="C11" s="78"/>
      <c r="D11" s="78"/>
      <c r="E11" s="94" t="s">
        <v>26</v>
      </c>
      <c r="F11" s="235"/>
      <c r="G11" s="235"/>
      <c r="H11" s="235"/>
      <c r="I11" s="235"/>
      <c r="J11" s="235"/>
      <c r="K11" s="235"/>
      <c r="L11" s="235"/>
      <c r="M11" s="235"/>
      <c r="N11" s="235"/>
      <c r="O11" s="235"/>
      <c r="P11" s="235"/>
      <c r="Q11" s="235"/>
      <c r="R11" s="98">
        <f t="shared" si="1"/>
        <v>0</v>
      </c>
      <c r="S11" s="78"/>
      <c r="T11" s="101"/>
    </row>
    <row r="12" ht="15.75" customHeight="1">
      <c r="A12" s="64"/>
      <c r="B12" s="82"/>
      <c r="C12" s="89">
        <v>2.0</v>
      </c>
      <c r="D12" s="92" t="s">
        <v>52</v>
      </c>
      <c r="E12" s="94" t="s">
        <v>19</v>
      </c>
      <c r="F12" s="196"/>
      <c r="G12" s="196"/>
      <c r="H12" s="196"/>
      <c r="I12" s="196"/>
      <c r="J12" s="196"/>
      <c r="K12" s="196"/>
      <c r="L12" s="196"/>
      <c r="M12" s="196"/>
      <c r="N12" s="196"/>
      <c r="O12" s="196"/>
      <c r="P12" s="196"/>
      <c r="Q12" s="196"/>
      <c r="R12" s="98">
        <f t="shared" si="1"/>
        <v>0</v>
      </c>
      <c r="S12" s="100" t="str">
        <f>IFERROR(R13/R12,"")</f>
        <v/>
      </c>
      <c r="T12" s="101"/>
    </row>
    <row r="13" ht="15.75" customHeight="1">
      <c r="A13" s="64"/>
      <c r="B13" s="82"/>
      <c r="C13" s="78"/>
      <c r="D13" s="78"/>
      <c r="E13" s="94" t="s">
        <v>26</v>
      </c>
      <c r="F13" s="235"/>
      <c r="G13" s="235"/>
      <c r="H13" s="235"/>
      <c r="I13" s="235"/>
      <c r="J13" s="235"/>
      <c r="K13" s="235"/>
      <c r="L13" s="235"/>
      <c r="M13" s="235"/>
      <c r="N13" s="235"/>
      <c r="O13" s="235"/>
      <c r="P13" s="235"/>
      <c r="Q13" s="235"/>
      <c r="R13" s="98">
        <f t="shared" si="1"/>
        <v>0</v>
      </c>
      <c r="S13" s="78"/>
      <c r="T13" s="101"/>
    </row>
    <row r="14" ht="15.75" customHeight="1">
      <c r="A14" s="64"/>
      <c r="B14" s="82"/>
      <c r="C14" s="89">
        <v>3.0</v>
      </c>
      <c r="D14" s="92" t="s">
        <v>53</v>
      </c>
      <c r="E14" s="94" t="s">
        <v>19</v>
      </c>
      <c r="F14" s="196"/>
      <c r="G14" s="196"/>
      <c r="H14" s="196"/>
      <c r="I14" s="196"/>
      <c r="J14" s="196"/>
      <c r="K14" s="196"/>
      <c r="L14" s="196"/>
      <c r="M14" s="196"/>
      <c r="N14" s="196"/>
      <c r="O14" s="196"/>
      <c r="P14" s="196"/>
      <c r="Q14" s="196"/>
      <c r="R14" s="98">
        <f t="shared" si="1"/>
        <v>0</v>
      </c>
      <c r="S14" s="100" t="str">
        <f>IFERROR(R15/R14,"")</f>
        <v/>
      </c>
      <c r="T14" s="101"/>
    </row>
    <row r="15" ht="15.75" customHeight="1">
      <c r="A15" s="64"/>
      <c r="B15" s="78"/>
      <c r="C15" s="78"/>
      <c r="D15" s="78"/>
      <c r="E15" s="94" t="s">
        <v>26</v>
      </c>
      <c r="F15" s="235"/>
      <c r="G15" s="235"/>
      <c r="H15" s="235"/>
      <c r="I15" s="235"/>
      <c r="J15" s="235"/>
      <c r="K15" s="235"/>
      <c r="L15" s="235"/>
      <c r="M15" s="235"/>
      <c r="N15" s="235"/>
      <c r="O15" s="235"/>
      <c r="P15" s="235"/>
      <c r="Q15" s="235"/>
      <c r="R15" s="98">
        <f t="shared" si="1"/>
        <v>0</v>
      </c>
      <c r="S15" s="78"/>
      <c r="T15" s="101"/>
    </row>
    <row r="16" ht="15.75" customHeight="1">
      <c r="A16" s="64"/>
      <c r="B16" s="88" t="s">
        <v>54</v>
      </c>
      <c r="C16" s="89">
        <v>1.0</v>
      </c>
      <c r="D16" s="92" t="s">
        <v>55</v>
      </c>
      <c r="E16" s="94" t="s">
        <v>19</v>
      </c>
      <c r="F16" s="196"/>
      <c r="G16" s="196"/>
      <c r="H16" s="196"/>
      <c r="I16" s="196"/>
      <c r="J16" s="196"/>
      <c r="K16" s="196"/>
      <c r="L16" s="196"/>
      <c r="M16" s="196"/>
      <c r="N16" s="196"/>
      <c r="O16" s="196"/>
      <c r="P16" s="196"/>
      <c r="Q16" s="196"/>
      <c r="R16" s="98">
        <f t="shared" si="1"/>
        <v>0</v>
      </c>
      <c r="S16" s="100" t="str">
        <f>IFERROR(R17/R16,"")</f>
        <v/>
      </c>
      <c r="T16" s="101"/>
    </row>
    <row r="17" ht="15.75" customHeight="1">
      <c r="A17" s="64"/>
      <c r="B17" s="82"/>
      <c r="C17" s="78"/>
      <c r="D17" s="78"/>
      <c r="E17" s="94" t="s">
        <v>26</v>
      </c>
      <c r="F17" s="235"/>
      <c r="G17" s="235"/>
      <c r="H17" s="235"/>
      <c r="I17" s="235"/>
      <c r="J17" s="235"/>
      <c r="K17" s="235"/>
      <c r="L17" s="235"/>
      <c r="M17" s="235"/>
      <c r="N17" s="235"/>
      <c r="O17" s="235"/>
      <c r="P17" s="235"/>
      <c r="Q17" s="235"/>
      <c r="R17" s="98">
        <f t="shared" si="1"/>
        <v>0</v>
      </c>
      <c r="S17" s="78"/>
      <c r="T17" s="101"/>
    </row>
    <row r="18" ht="15.75" customHeight="1">
      <c r="A18" s="64"/>
      <c r="B18" s="82"/>
      <c r="C18" s="89">
        <v>2.0</v>
      </c>
      <c r="D18" s="236" t="s">
        <v>250</v>
      </c>
      <c r="E18" s="94" t="s">
        <v>19</v>
      </c>
      <c r="F18" s="196"/>
      <c r="G18" s="196"/>
      <c r="H18" s="196"/>
      <c r="I18" s="196"/>
      <c r="J18" s="196"/>
      <c r="K18" s="196"/>
      <c r="L18" s="196"/>
      <c r="M18" s="196"/>
      <c r="N18" s="196"/>
      <c r="O18" s="196"/>
      <c r="P18" s="196"/>
      <c r="Q18" s="196"/>
      <c r="R18" s="98">
        <f t="shared" si="1"/>
        <v>0</v>
      </c>
      <c r="S18" s="100" t="str">
        <f>IFERROR(R19/R18,"")</f>
        <v/>
      </c>
      <c r="T18" s="101"/>
    </row>
    <row r="19" ht="15.75" customHeight="1">
      <c r="A19" s="64"/>
      <c r="B19" s="82"/>
      <c r="C19" s="78"/>
      <c r="E19" s="94" t="s">
        <v>26</v>
      </c>
      <c r="F19" s="235"/>
      <c r="G19" s="235"/>
      <c r="H19" s="235"/>
      <c r="I19" s="235"/>
      <c r="J19" s="235"/>
      <c r="K19" s="235"/>
      <c r="L19" s="235"/>
      <c r="M19" s="235"/>
      <c r="N19" s="235"/>
      <c r="O19" s="235"/>
      <c r="P19" s="235"/>
      <c r="Q19" s="235"/>
      <c r="R19" s="98">
        <f t="shared" si="1"/>
        <v>0</v>
      </c>
      <c r="S19" s="78"/>
      <c r="T19" s="101"/>
    </row>
    <row r="20" ht="15.75" customHeight="1">
      <c r="A20" s="64"/>
      <c r="B20" s="82"/>
      <c r="C20" s="89">
        <v>3.0</v>
      </c>
      <c r="D20" s="146" t="s">
        <v>251</v>
      </c>
      <c r="E20" s="94" t="s">
        <v>19</v>
      </c>
      <c r="F20" s="95"/>
      <c r="G20" s="95"/>
      <c r="H20" s="95"/>
      <c r="I20" s="95"/>
      <c r="J20" s="95"/>
      <c r="K20" s="95"/>
      <c r="L20" s="95"/>
      <c r="M20" s="95"/>
      <c r="N20" s="95"/>
      <c r="O20" s="95"/>
      <c r="P20" s="95"/>
      <c r="Q20" s="95"/>
      <c r="R20" s="98">
        <f t="shared" si="1"/>
        <v>0</v>
      </c>
      <c r="S20" s="100" t="str">
        <f>IFERROR(R21/R20,"")</f>
        <v/>
      </c>
      <c r="T20" s="101"/>
    </row>
    <row r="21" ht="15.75" customHeight="1">
      <c r="A21" s="64"/>
      <c r="B21" s="82"/>
      <c r="C21" s="78"/>
      <c r="D21" s="78"/>
      <c r="E21" s="94" t="s">
        <v>26</v>
      </c>
      <c r="F21" s="235"/>
      <c r="G21" s="235"/>
      <c r="H21" s="235"/>
      <c r="I21" s="235"/>
      <c r="J21" s="235"/>
      <c r="K21" s="235"/>
      <c r="L21" s="235"/>
      <c r="M21" s="235"/>
      <c r="N21" s="235"/>
      <c r="O21" s="235"/>
      <c r="P21" s="235"/>
      <c r="Q21" s="235"/>
      <c r="R21" s="98">
        <f t="shared" si="1"/>
        <v>0</v>
      </c>
      <c r="S21" s="78"/>
      <c r="T21" s="101"/>
    </row>
    <row r="22" ht="15.75" customHeight="1">
      <c r="A22" s="64"/>
      <c r="B22" s="82"/>
      <c r="C22" s="89">
        <v>4.0</v>
      </c>
      <c r="D22" s="92" t="s">
        <v>74</v>
      </c>
      <c r="E22" s="94" t="s">
        <v>19</v>
      </c>
      <c r="F22" s="95"/>
      <c r="G22" s="95"/>
      <c r="H22" s="95"/>
      <c r="I22" s="95"/>
      <c r="J22" s="95"/>
      <c r="K22" s="95"/>
      <c r="L22" s="95"/>
      <c r="M22" s="95"/>
      <c r="N22" s="95"/>
      <c r="O22" s="95"/>
      <c r="P22" s="95"/>
      <c r="Q22" s="95"/>
      <c r="R22" s="98">
        <f t="shared" si="1"/>
        <v>0</v>
      </c>
      <c r="S22" s="100" t="str">
        <f>IFERROR(R23/R22,"")</f>
        <v/>
      </c>
      <c r="T22" s="101"/>
    </row>
    <row r="23" ht="15.75" customHeight="1">
      <c r="A23" s="64"/>
      <c r="B23" s="78"/>
      <c r="C23" s="78"/>
      <c r="D23" s="78"/>
      <c r="E23" s="94" t="s">
        <v>26</v>
      </c>
      <c r="F23" s="235"/>
      <c r="G23" s="235"/>
      <c r="H23" s="235"/>
      <c r="I23" s="235"/>
      <c r="J23" s="235"/>
      <c r="K23" s="235"/>
      <c r="L23" s="235"/>
      <c r="M23" s="235"/>
      <c r="N23" s="235"/>
      <c r="O23" s="235"/>
      <c r="P23" s="235"/>
      <c r="Q23" s="235"/>
      <c r="R23" s="98"/>
      <c r="S23" s="78"/>
      <c r="T23" s="101"/>
    </row>
    <row r="24" ht="15.75" customHeight="1">
      <c r="A24" s="58"/>
      <c r="B24" s="165" t="s">
        <v>101</v>
      </c>
      <c r="C24" s="166">
        <v>1.0</v>
      </c>
      <c r="D24" s="92" t="s">
        <v>109</v>
      </c>
      <c r="E24" s="94" t="s">
        <v>19</v>
      </c>
      <c r="F24" s="238"/>
      <c r="G24" s="238"/>
      <c r="H24" s="238"/>
      <c r="I24" s="238"/>
      <c r="J24" s="238"/>
      <c r="K24" s="238"/>
      <c r="L24" s="238"/>
      <c r="M24" s="238"/>
      <c r="N24" s="238"/>
      <c r="O24" s="238"/>
      <c r="P24" s="238"/>
      <c r="Q24" s="238"/>
      <c r="R24" s="168"/>
      <c r="S24" s="100" t="str">
        <f>IFERROR(R25/R24,"")</f>
        <v/>
      </c>
      <c r="T24" s="101"/>
    </row>
    <row r="25" ht="15.75" customHeight="1">
      <c r="A25" s="58"/>
      <c r="B25" s="82"/>
      <c r="C25" s="78"/>
      <c r="D25" s="78"/>
      <c r="E25" s="94" t="s">
        <v>26</v>
      </c>
      <c r="F25" s="235"/>
      <c r="G25" s="235"/>
      <c r="H25" s="235"/>
      <c r="I25" s="235"/>
      <c r="J25" s="235"/>
      <c r="K25" s="235"/>
      <c r="L25" s="235"/>
      <c r="M25" s="235"/>
      <c r="N25" s="235"/>
      <c r="O25" s="235"/>
      <c r="P25" s="235"/>
      <c r="Q25" s="235"/>
      <c r="R25" s="168"/>
      <c r="S25" s="78"/>
      <c r="T25" s="101"/>
    </row>
    <row r="26" ht="15.75" customHeight="1">
      <c r="A26" s="58"/>
      <c r="B26" s="82"/>
      <c r="C26" s="166">
        <v>2.0</v>
      </c>
      <c r="D26" s="92" t="s">
        <v>145</v>
      </c>
      <c r="E26" s="94" t="s">
        <v>19</v>
      </c>
      <c r="F26" s="238"/>
      <c r="G26" s="238"/>
      <c r="H26" s="238"/>
      <c r="I26" s="238"/>
      <c r="J26" s="238"/>
      <c r="K26" s="238"/>
      <c r="L26" s="238"/>
      <c r="M26" s="238"/>
      <c r="N26" s="238"/>
      <c r="O26" s="238"/>
      <c r="P26" s="238"/>
      <c r="Q26" s="238"/>
      <c r="R26" s="168"/>
      <c r="S26" s="100" t="str">
        <f>IFERROR(R26/R27,"")</f>
        <v/>
      </c>
      <c r="T26" s="101"/>
    </row>
    <row r="27" ht="15.75" customHeight="1">
      <c r="A27" s="58"/>
      <c r="B27" s="82"/>
      <c r="C27" s="78"/>
      <c r="D27" s="78"/>
      <c r="E27" s="94" t="s">
        <v>26</v>
      </c>
      <c r="F27" s="235"/>
      <c r="G27" s="235"/>
      <c r="H27" s="235"/>
      <c r="I27" s="235"/>
      <c r="J27" s="235"/>
      <c r="K27" s="235"/>
      <c r="L27" s="235"/>
      <c r="M27" s="235"/>
      <c r="N27" s="235"/>
      <c r="O27" s="235"/>
      <c r="P27" s="235"/>
      <c r="Q27" s="235"/>
      <c r="R27" s="168"/>
      <c r="S27" s="78"/>
      <c r="T27" s="101"/>
    </row>
    <row r="28" ht="15.75" customHeight="1">
      <c r="A28" s="58"/>
      <c r="B28" s="82"/>
      <c r="C28" s="166">
        <v>3.0</v>
      </c>
      <c r="D28" s="175" t="s">
        <v>166</v>
      </c>
      <c r="E28" s="94" t="s">
        <v>19</v>
      </c>
      <c r="F28" s="238"/>
      <c r="G28" s="238"/>
      <c r="H28" s="238"/>
      <c r="I28" s="238"/>
      <c r="J28" s="238"/>
      <c r="K28" s="238"/>
      <c r="L28" s="238"/>
      <c r="M28" s="238"/>
      <c r="N28" s="238"/>
      <c r="O28" s="238"/>
      <c r="P28" s="238"/>
      <c r="Q28" s="238"/>
      <c r="R28" s="168"/>
      <c r="S28" s="100" t="str">
        <f>IFERROR(R29/R28,"")</f>
        <v/>
      </c>
      <c r="T28" s="101"/>
    </row>
    <row r="29" ht="15.75" customHeight="1">
      <c r="A29" s="58"/>
      <c r="B29" s="78"/>
      <c r="C29" s="78"/>
      <c r="D29" s="78"/>
      <c r="E29" s="94" t="s">
        <v>26</v>
      </c>
      <c r="F29" s="235"/>
      <c r="G29" s="235"/>
      <c r="H29" s="235"/>
      <c r="I29" s="235"/>
      <c r="J29" s="235"/>
      <c r="K29" s="235"/>
      <c r="L29" s="235"/>
      <c r="M29" s="235"/>
      <c r="N29" s="235"/>
      <c r="O29" s="235"/>
      <c r="P29" s="235"/>
      <c r="Q29" s="235"/>
      <c r="R29" s="168"/>
      <c r="S29" s="78"/>
      <c r="T29" s="101"/>
    </row>
    <row r="30" ht="15.75" customHeight="1">
      <c r="A30" s="58"/>
      <c r="B30" s="58"/>
      <c r="C30" s="58"/>
      <c r="D30" s="58"/>
      <c r="E30" s="177"/>
      <c r="F30" s="178"/>
      <c r="G30" s="178"/>
      <c r="H30" s="178"/>
      <c r="I30" s="178"/>
      <c r="J30" s="178"/>
      <c r="K30" s="178"/>
      <c r="L30" s="178"/>
      <c r="M30" s="178"/>
      <c r="N30" s="178"/>
      <c r="O30" s="178"/>
      <c r="P30" s="178"/>
      <c r="Q30" s="178"/>
      <c r="R30" s="178"/>
      <c r="S30" s="101"/>
      <c r="T30" s="179">
        <v>0.01</v>
      </c>
    </row>
  </sheetData>
  <mergeCells count="48">
    <mergeCell ref="D16:D17"/>
    <mergeCell ref="C18:C19"/>
    <mergeCell ref="D18:D19"/>
    <mergeCell ref="C22:C23"/>
    <mergeCell ref="D22:D23"/>
    <mergeCell ref="D24:D25"/>
    <mergeCell ref="D26:D27"/>
    <mergeCell ref="D28:D29"/>
    <mergeCell ref="B24:B29"/>
    <mergeCell ref="C24:C25"/>
    <mergeCell ref="C26:C27"/>
    <mergeCell ref="C28:C29"/>
    <mergeCell ref="C8:C9"/>
    <mergeCell ref="D8:D9"/>
    <mergeCell ref="B10:B15"/>
    <mergeCell ref="C10:C11"/>
    <mergeCell ref="D10:D11"/>
    <mergeCell ref="D12:D13"/>
    <mergeCell ref="B16:B23"/>
    <mergeCell ref="C6:C7"/>
    <mergeCell ref="D6:D7"/>
    <mergeCell ref="B2:D2"/>
    <mergeCell ref="F2:I2"/>
    <mergeCell ref="J2:M2"/>
    <mergeCell ref="B3:C3"/>
    <mergeCell ref="B4:B9"/>
    <mergeCell ref="C4:C5"/>
    <mergeCell ref="D4:D5"/>
    <mergeCell ref="C14:C15"/>
    <mergeCell ref="D14:D15"/>
    <mergeCell ref="C12:C13"/>
    <mergeCell ref="C16:C17"/>
    <mergeCell ref="S16:S17"/>
    <mergeCell ref="S18:S19"/>
    <mergeCell ref="S20:S21"/>
    <mergeCell ref="S22:S23"/>
    <mergeCell ref="S24:S25"/>
    <mergeCell ref="S26:S27"/>
    <mergeCell ref="S28:S29"/>
    <mergeCell ref="N2:Q2"/>
    <mergeCell ref="S4:S5"/>
    <mergeCell ref="S6:S7"/>
    <mergeCell ref="S8:S9"/>
    <mergeCell ref="S10:S11"/>
    <mergeCell ref="S12:S13"/>
    <mergeCell ref="S14:S15"/>
    <mergeCell ref="C20:C21"/>
    <mergeCell ref="D20:D21"/>
  </mergeCells>
  <printOptions/>
  <pageMargins bottom="0.75" footer="0.0" header="0.0" left="0.7" right="0.7" top="0.75"/>
  <pageSetup paperSize="9"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outlineLevelCol="4"/>
  <cols>
    <col customWidth="1" min="1" max="1" width="2.75"/>
    <col customWidth="1" min="2" max="2" width="5.63"/>
    <col customWidth="1" min="3" max="3" width="4.63"/>
    <col customWidth="1" min="4" max="4" width="19.25"/>
    <col customWidth="1" min="5" max="5" width="5.13"/>
    <col customWidth="1" min="6" max="17" width="7.63"/>
    <col customWidth="1" min="18" max="18" width="7.75"/>
    <col customWidth="1" min="19" max="19" width="9.63"/>
    <col customWidth="1" min="20" max="20" width="2.75"/>
  </cols>
  <sheetData>
    <row r="1" ht="15.75" customHeight="1">
      <c r="A1" s="58"/>
      <c r="B1" s="58"/>
      <c r="C1" s="58"/>
      <c r="D1" s="58"/>
      <c r="E1" s="59"/>
      <c r="F1" s="59"/>
      <c r="G1" s="59"/>
      <c r="H1" s="59"/>
      <c r="I1" s="59"/>
      <c r="J1" s="59"/>
      <c r="K1" s="59"/>
      <c r="L1" s="59"/>
      <c r="M1" s="59"/>
      <c r="N1" s="59"/>
      <c r="O1" s="59"/>
      <c r="P1" s="59"/>
      <c r="Q1" s="59"/>
      <c r="R1" s="59"/>
      <c r="S1" s="64"/>
      <c r="T1" s="64"/>
    </row>
    <row r="2" ht="15.75" customHeight="1">
      <c r="A2" s="58"/>
      <c r="B2" s="65" t="s">
        <v>243</v>
      </c>
      <c r="C2" s="63"/>
      <c r="D2" s="66"/>
      <c r="E2" s="67"/>
      <c r="F2" s="68" t="s">
        <v>25</v>
      </c>
      <c r="G2" s="63"/>
      <c r="H2" s="66"/>
      <c r="I2" s="68" t="s">
        <v>6</v>
      </c>
      <c r="J2" s="63"/>
      <c r="K2" s="66"/>
      <c r="L2" s="68" t="s">
        <v>27</v>
      </c>
      <c r="M2" s="63"/>
      <c r="N2" s="66"/>
      <c r="O2" s="68" t="s">
        <v>28</v>
      </c>
      <c r="P2" s="63"/>
      <c r="Q2" s="66"/>
      <c r="R2" s="69"/>
      <c r="S2" s="71"/>
      <c r="T2" s="64"/>
    </row>
    <row r="3" ht="15.75" customHeight="1">
      <c r="A3" s="58"/>
      <c r="B3" s="72"/>
      <c r="C3" s="66"/>
      <c r="D3" s="75" t="s">
        <v>7</v>
      </c>
      <c r="E3" s="76"/>
      <c r="F3" s="79" t="s">
        <v>56</v>
      </c>
      <c r="G3" s="79" t="s">
        <v>57</v>
      </c>
      <c r="H3" s="79" t="s">
        <v>58</v>
      </c>
      <c r="I3" s="79" t="s">
        <v>59</v>
      </c>
      <c r="J3" s="79" t="s">
        <v>61</v>
      </c>
      <c r="K3" s="79" t="s">
        <v>62</v>
      </c>
      <c r="L3" s="79" t="s">
        <v>63</v>
      </c>
      <c r="M3" s="79" t="s">
        <v>64</v>
      </c>
      <c r="N3" s="79" t="s">
        <v>65</v>
      </c>
      <c r="O3" s="79" t="s">
        <v>66</v>
      </c>
      <c r="P3" s="79" t="s">
        <v>67</v>
      </c>
      <c r="Q3" s="79" t="s">
        <v>68</v>
      </c>
      <c r="R3" s="79" t="s">
        <v>37</v>
      </c>
      <c r="S3" s="85" t="s">
        <v>252</v>
      </c>
      <c r="T3" s="58"/>
    </row>
    <row r="4" ht="15.75" customHeight="1">
      <c r="A4" s="64"/>
      <c r="B4" s="88" t="s">
        <v>17</v>
      </c>
      <c r="C4" s="89">
        <v>1.0</v>
      </c>
      <c r="D4" s="92" t="s">
        <v>18</v>
      </c>
      <c r="E4" s="94" t="s">
        <v>19</v>
      </c>
      <c r="F4" s="196"/>
      <c r="G4" s="196"/>
      <c r="H4" s="196"/>
      <c r="I4" s="196"/>
      <c r="J4" s="196"/>
      <c r="K4" s="196"/>
      <c r="L4" s="196"/>
      <c r="M4" s="196"/>
      <c r="N4" s="196"/>
      <c r="O4" s="196"/>
      <c r="P4" s="196"/>
      <c r="Q4" s="196"/>
      <c r="R4" s="98">
        <f t="shared" ref="R4:R29" si="1">SUM(F4:Q4)</f>
        <v>0</v>
      </c>
      <c r="S4" s="100" t="str">
        <f>IFERROR(R5/R4,"")</f>
        <v/>
      </c>
      <c r="T4" s="101"/>
    </row>
    <row r="5" ht="15.75" customHeight="1">
      <c r="A5" s="64"/>
      <c r="B5" s="82"/>
      <c r="C5" s="78"/>
      <c r="D5" s="78"/>
      <c r="E5" s="94" t="s">
        <v>26</v>
      </c>
      <c r="F5" s="235"/>
      <c r="G5" s="235"/>
      <c r="H5" s="235"/>
      <c r="I5" s="235"/>
      <c r="J5" s="235"/>
      <c r="K5" s="235"/>
      <c r="L5" s="235"/>
      <c r="M5" s="235"/>
      <c r="N5" s="235"/>
      <c r="O5" s="235"/>
      <c r="P5" s="235"/>
      <c r="Q5" s="235"/>
      <c r="R5" s="98">
        <f t="shared" si="1"/>
        <v>0</v>
      </c>
      <c r="S5" s="78"/>
      <c r="T5" s="101"/>
    </row>
    <row r="6" ht="15.75" customHeight="1">
      <c r="A6" s="64"/>
      <c r="B6" s="82"/>
      <c r="C6" s="89">
        <v>2.0</v>
      </c>
      <c r="D6" s="236" t="s">
        <v>40</v>
      </c>
      <c r="E6" s="94" t="s">
        <v>19</v>
      </c>
      <c r="F6" s="196"/>
      <c r="G6" s="196"/>
      <c r="H6" s="196"/>
      <c r="I6" s="196"/>
      <c r="J6" s="196"/>
      <c r="K6" s="196"/>
      <c r="L6" s="196"/>
      <c r="M6" s="196"/>
      <c r="N6" s="196"/>
      <c r="O6" s="196"/>
      <c r="P6" s="196"/>
      <c r="Q6" s="196"/>
      <c r="R6" s="98">
        <f t="shared" si="1"/>
        <v>0</v>
      </c>
      <c r="S6" s="100" t="str">
        <f>IFERROR(R7/R6,"")</f>
        <v/>
      </c>
      <c r="T6" s="101"/>
    </row>
    <row r="7" ht="15.75" customHeight="1">
      <c r="A7" s="64"/>
      <c r="B7" s="82"/>
      <c r="C7" s="78"/>
      <c r="E7" s="94" t="s">
        <v>26</v>
      </c>
      <c r="F7" s="235"/>
      <c r="G7" s="235"/>
      <c r="H7" s="235"/>
      <c r="I7" s="235"/>
      <c r="J7" s="235"/>
      <c r="K7" s="235"/>
      <c r="L7" s="235"/>
      <c r="M7" s="235"/>
      <c r="N7" s="235"/>
      <c r="O7" s="235"/>
      <c r="P7" s="235"/>
      <c r="Q7" s="235"/>
      <c r="R7" s="98">
        <f t="shared" si="1"/>
        <v>0</v>
      </c>
      <c r="S7" s="78"/>
      <c r="T7" s="101"/>
    </row>
    <row r="8" ht="15.75" customHeight="1">
      <c r="A8" s="64"/>
      <c r="B8" s="82"/>
      <c r="C8" s="89">
        <v>3.0</v>
      </c>
      <c r="D8" s="92" t="s">
        <v>42</v>
      </c>
      <c r="E8" s="94" t="s">
        <v>19</v>
      </c>
      <c r="F8" s="196"/>
      <c r="G8" s="196"/>
      <c r="H8" s="196"/>
      <c r="I8" s="196"/>
      <c r="J8" s="196"/>
      <c r="K8" s="196"/>
      <c r="L8" s="196"/>
      <c r="M8" s="196"/>
      <c r="N8" s="196"/>
      <c r="O8" s="196"/>
      <c r="P8" s="196"/>
      <c r="Q8" s="196"/>
      <c r="R8" s="98">
        <f t="shared" si="1"/>
        <v>0</v>
      </c>
      <c r="S8" s="100" t="str">
        <f>IFERROR(R9/R8,"")</f>
        <v/>
      </c>
      <c r="T8" s="101"/>
    </row>
    <row r="9" ht="15.75" customHeight="1">
      <c r="A9" s="64"/>
      <c r="B9" s="78"/>
      <c r="C9" s="78"/>
      <c r="D9" s="78"/>
      <c r="E9" s="94" t="s">
        <v>26</v>
      </c>
      <c r="F9" s="235"/>
      <c r="G9" s="235"/>
      <c r="H9" s="235"/>
      <c r="I9" s="235"/>
      <c r="J9" s="235"/>
      <c r="K9" s="235"/>
      <c r="L9" s="235"/>
      <c r="M9" s="235"/>
      <c r="N9" s="235"/>
      <c r="O9" s="235"/>
      <c r="P9" s="235"/>
      <c r="Q9" s="235"/>
      <c r="R9" s="98">
        <f t="shared" si="1"/>
        <v>0</v>
      </c>
      <c r="S9" s="78"/>
      <c r="T9" s="101"/>
    </row>
    <row r="10" ht="15.75" customHeight="1">
      <c r="A10" s="64"/>
      <c r="B10" s="88" t="s">
        <v>44</v>
      </c>
      <c r="C10" s="89">
        <v>1.0</v>
      </c>
      <c r="D10" s="92" t="s">
        <v>46</v>
      </c>
      <c r="E10" s="94" t="s">
        <v>19</v>
      </c>
      <c r="F10" s="196"/>
      <c r="G10" s="196"/>
      <c r="H10" s="196"/>
      <c r="I10" s="196"/>
      <c r="J10" s="196"/>
      <c r="K10" s="196"/>
      <c r="L10" s="196"/>
      <c r="M10" s="196"/>
      <c r="N10" s="196"/>
      <c r="O10" s="196"/>
      <c r="P10" s="196"/>
      <c r="Q10" s="196"/>
      <c r="R10" s="98">
        <f t="shared" si="1"/>
        <v>0</v>
      </c>
      <c r="S10" s="100" t="str">
        <f>IFERROR(R11/R10,"")</f>
        <v/>
      </c>
      <c r="T10" s="101"/>
    </row>
    <row r="11" ht="15.75" customHeight="1">
      <c r="A11" s="64"/>
      <c r="B11" s="82"/>
      <c r="C11" s="78"/>
      <c r="D11" s="78"/>
      <c r="E11" s="94" t="s">
        <v>26</v>
      </c>
      <c r="F11" s="235"/>
      <c r="G11" s="235"/>
      <c r="H11" s="235"/>
      <c r="I11" s="235"/>
      <c r="J11" s="235"/>
      <c r="K11" s="235"/>
      <c r="L11" s="235"/>
      <c r="M11" s="235"/>
      <c r="N11" s="235"/>
      <c r="O11" s="235"/>
      <c r="P11" s="235"/>
      <c r="Q11" s="235"/>
      <c r="R11" s="98">
        <f t="shared" si="1"/>
        <v>0</v>
      </c>
      <c r="S11" s="78"/>
      <c r="T11" s="101"/>
    </row>
    <row r="12" ht="15.75" customHeight="1">
      <c r="A12" s="64"/>
      <c r="B12" s="82"/>
      <c r="C12" s="89">
        <v>2.0</v>
      </c>
      <c r="D12" s="92" t="s">
        <v>52</v>
      </c>
      <c r="E12" s="94" t="s">
        <v>19</v>
      </c>
      <c r="F12" s="196"/>
      <c r="G12" s="196"/>
      <c r="H12" s="196"/>
      <c r="I12" s="196"/>
      <c r="J12" s="196"/>
      <c r="K12" s="196"/>
      <c r="L12" s="196"/>
      <c r="M12" s="196"/>
      <c r="N12" s="196"/>
      <c r="O12" s="196"/>
      <c r="P12" s="196"/>
      <c r="Q12" s="196"/>
      <c r="R12" s="98">
        <f t="shared" si="1"/>
        <v>0</v>
      </c>
      <c r="S12" s="100" t="str">
        <f>IFERROR(R13/R12,"")</f>
        <v/>
      </c>
      <c r="T12" s="101"/>
    </row>
    <row r="13" ht="15.75" customHeight="1">
      <c r="A13" s="64"/>
      <c r="B13" s="82"/>
      <c r="C13" s="78"/>
      <c r="D13" s="78"/>
      <c r="E13" s="94" t="s">
        <v>26</v>
      </c>
      <c r="F13" s="235"/>
      <c r="G13" s="235"/>
      <c r="H13" s="235"/>
      <c r="I13" s="235"/>
      <c r="J13" s="235"/>
      <c r="K13" s="235"/>
      <c r="L13" s="235"/>
      <c r="M13" s="235"/>
      <c r="N13" s="235"/>
      <c r="O13" s="235"/>
      <c r="P13" s="235"/>
      <c r="Q13" s="235"/>
      <c r="R13" s="98">
        <f t="shared" si="1"/>
        <v>0</v>
      </c>
      <c r="S13" s="78"/>
      <c r="T13" s="101"/>
    </row>
    <row r="14" ht="15.75" customHeight="1">
      <c r="A14" s="64"/>
      <c r="B14" s="82"/>
      <c r="C14" s="89">
        <v>3.0</v>
      </c>
      <c r="D14" s="92" t="s">
        <v>53</v>
      </c>
      <c r="E14" s="94" t="s">
        <v>19</v>
      </c>
      <c r="F14" s="196"/>
      <c r="G14" s="196"/>
      <c r="H14" s="196"/>
      <c r="I14" s="196"/>
      <c r="J14" s="196"/>
      <c r="K14" s="196"/>
      <c r="L14" s="196"/>
      <c r="M14" s="196"/>
      <c r="N14" s="196"/>
      <c r="O14" s="196"/>
      <c r="P14" s="196"/>
      <c r="Q14" s="196"/>
      <c r="R14" s="98">
        <f t="shared" si="1"/>
        <v>0</v>
      </c>
      <c r="S14" s="100" t="str">
        <f>IFERROR(R15/R14,"")</f>
        <v/>
      </c>
      <c r="T14" s="101"/>
    </row>
    <row r="15" ht="15.75" customHeight="1">
      <c r="A15" s="64"/>
      <c r="B15" s="78"/>
      <c r="C15" s="78"/>
      <c r="D15" s="78"/>
      <c r="E15" s="94" t="s">
        <v>26</v>
      </c>
      <c r="F15" s="235"/>
      <c r="G15" s="235"/>
      <c r="H15" s="235"/>
      <c r="I15" s="235"/>
      <c r="J15" s="235"/>
      <c r="K15" s="235"/>
      <c r="L15" s="235"/>
      <c r="M15" s="235"/>
      <c r="N15" s="235"/>
      <c r="O15" s="235"/>
      <c r="P15" s="235"/>
      <c r="Q15" s="235"/>
      <c r="R15" s="98">
        <f t="shared" si="1"/>
        <v>0</v>
      </c>
      <c r="S15" s="78"/>
      <c r="T15" s="101"/>
    </row>
    <row r="16" ht="15.75" customHeight="1">
      <c r="A16" s="64"/>
      <c r="B16" s="88" t="s">
        <v>54</v>
      </c>
      <c r="C16" s="89">
        <v>1.0</v>
      </c>
      <c r="D16" s="92" t="s">
        <v>55</v>
      </c>
      <c r="E16" s="94" t="s">
        <v>19</v>
      </c>
      <c r="F16" s="196"/>
      <c r="G16" s="196"/>
      <c r="H16" s="196"/>
      <c r="I16" s="196"/>
      <c r="J16" s="196"/>
      <c r="K16" s="196"/>
      <c r="L16" s="196"/>
      <c r="M16" s="196"/>
      <c r="N16" s="196"/>
      <c r="O16" s="196"/>
      <c r="P16" s="196"/>
      <c r="Q16" s="196"/>
      <c r="R16" s="98">
        <f t="shared" si="1"/>
        <v>0</v>
      </c>
      <c r="S16" s="100" t="str">
        <f>IFERROR(R17/R16,"")</f>
        <v/>
      </c>
      <c r="T16" s="101"/>
    </row>
    <row r="17" ht="15.75" customHeight="1">
      <c r="A17" s="64"/>
      <c r="B17" s="82"/>
      <c r="C17" s="78"/>
      <c r="D17" s="78"/>
      <c r="E17" s="94" t="s">
        <v>26</v>
      </c>
      <c r="F17" s="235"/>
      <c r="G17" s="235"/>
      <c r="H17" s="235"/>
      <c r="I17" s="235"/>
      <c r="J17" s="235"/>
      <c r="K17" s="235"/>
      <c r="L17" s="235"/>
      <c r="M17" s="235"/>
      <c r="N17" s="235"/>
      <c r="O17" s="235"/>
      <c r="P17" s="235"/>
      <c r="Q17" s="235"/>
      <c r="R17" s="98">
        <f t="shared" si="1"/>
        <v>0</v>
      </c>
      <c r="S17" s="78"/>
      <c r="T17" s="101"/>
    </row>
    <row r="18" ht="15.75" customHeight="1">
      <c r="A18" s="64"/>
      <c r="B18" s="82"/>
      <c r="C18" s="89">
        <v>2.0</v>
      </c>
      <c r="D18" s="236" t="s">
        <v>250</v>
      </c>
      <c r="E18" s="94" t="s">
        <v>19</v>
      </c>
      <c r="F18" s="196"/>
      <c r="G18" s="196"/>
      <c r="H18" s="196"/>
      <c r="I18" s="196"/>
      <c r="J18" s="196"/>
      <c r="K18" s="196"/>
      <c r="L18" s="196"/>
      <c r="M18" s="196"/>
      <c r="N18" s="196"/>
      <c r="O18" s="196"/>
      <c r="P18" s="196"/>
      <c r="Q18" s="196"/>
      <c r="R18" s="98">
        <f t="shared" si="1"/>
        <v>0</v>
      </c>
      <c r="S18" s="100" t="str">
        <f>IFERROR(R19/R18,"")</f>
        <v/>
      </c>
      <c r="T18" s="101"/>
    </row>
    <row r="19" ht="15.75" customHeight="1">
      <c r="A19" s="64"/>
      <c r="B19" s="82"/>
      <c r="C19" s="78"/>
      <c r="E19" s="94" t="s">
        <v>26</v>
      </c>
      <c r="F19" s="235"/>
      <c r="G19" s="235"/>
      <c r="H19" s="235"/>
      <c r="I19" s="235"/>
      <c r="J19" s="235"/>
      <c r="K19" s="235"/>
      <c r="L19" s="235"/>
      <c r="M19" s="235"/>
      <c r="N19" s="235"/>
      <c r="O19" s="235"/>
      <c r="P19" s="235"/>
      <c r="Q19" s="235"/>
      <c r="R19" s="98">
        <f t="shared" si="1"/>
        <v>0</v>
      </c>
      <c r="S19" s="78"/>
      <c r="T19" s="101"/>
    </row>
    <row r="20" ht="15.75" customHeight="1">
      <c r="A20" s="64"/>
      <c r="B20" s="82"/>
      <c r="C20" s="89">
        <v>3.0</v>
      </c>
      <c r="D20" s="146" t="s">
        <v>251</v>
      </c>
      <c r="E20" s="94" t="s">
        <v>19</v>
      </c>
      <c r="F20" s="196"/>
      <c r="G20" s="196"/>
      <c r="H20" s="196"/>
      <c r="I20" s="196"/>
      <c r="J20" s="196"/>
      <c r="K20" s="196"/>
      <c r="L20" s="196"/>
      <c r="M20" s="196"/>
      <c r="N20" s="196"/>
      <c r="O20" s="196"/>
      <c r="P20" s="196"/>
      <c r="Q20" s="196"/>
      <c r="R20" s="98">
        <f t="shared" si="1"/>
        <v>0</v>
      </c>
      <c r="S20" s="100" t="str">
        <f>IFERROR(R21/R20,"")</f>
        <v/>
      </c>
      <c r="T20" s="101"/>
    </row>
    <row r="21" ht="15.75" customHeight="1">
      <c r="A21" s="64"/>
      <c r="B21" s="82"/>
      <c r="C21" s="78"/>
      <c r="D21" s="78"/>
      <c r="E21" s="94" t="s">
        <v>26</v>
      </c>
      <c r="F21" s="235"/>
      <c r="G21" s="235"/>
      <c r="H21" s="235"/>
      <c r="I21" s="235"/>
      <c r="J21" s="235"/>
      <c r="K21" s="235"/>
      <c r="L21" s="235"/>
      <c r="M21" s="235"/>
      <c r="N21" s="235"/>
      <c r="O21" s="235"/>
      <c r="P21" s="235"/>
      <c r="Q21" s="235"/>
      <c r="R21" s="98">
        <f t="shared" si="1"/>
        <v>0</v>
      </c>
      <c r="S21" s="78"/>
      <c r="T21" s="101"/>
    </row>
    <row r="22" ht="15.75" customHeight="1">
      <c r="A22" s="64"/>
      <c r="B22" s="82"/>
      <c r="C22" s="89">
        <v>4.0</v>
      </c>
      <c r="D22" s="92" t="s">
        <v>74</v>
      </c>
      <c r="E22" s="94" t="s">
        <v>19</v>
      </c>
      <c r="F22" s="196"/>
      <c r="G22" s="196"/>
      <c r="H22" s="196"/>
      <c r="I22" s="196"/>
      <c r="J22" s="196"/>
      <c r="K22" s="196"/>
      <c r="L22" s="196"/>
      <c r="M22" s="196"/>
      <c r="N22" s="196"/>
      <c r="O22" s="196"/>
      <c r="P22" s="196"/>
      <c r="Q22" s="196"/>
      <c r="R22" s="98">
        <f t="shared" si="1"/>
        <v>0</v>
      </c>
      <c r="S22" s="100" t="str">
        <f>IFERROR(R23/R22,"")</f>
        <v/>
      </c>
      <c r="T22" s="101"/>
    </row>
    <row r="23" ht="15.75" customHeight="1">
      <c r="A23" s="64"/>
      <c r="B23" s="78"/>
      <c r="C23" s="78"/>
      <c r="D23" s="78"/>
      <c r="E23" s="94" t="s">
        <v>26</v>
      </c>
      <c r="F23" s="235"/>
      <c r="G23" s="235"/>
      <c r="H23" s="235"/>
      <c r="I23" s="235"/>
      <c r="J23" s="235"/>
      <c r="K23" s="235"/>
      <c r="L23" s="235"/>
      <c r="M23" s="235"/>
      <c r="N23" s="235"/>
      <c r="O23" s="235"/>
      <c r="P23" s="235"/>
      <c r="Q23" s="235"/>
      <c r="R23" s="98">
        <f t="shared" si="1"/>
        <v>0</v>
      </c>
      <c r="S23" s="78"/>
      <c r="T23" s="101"/>
    </row>
    <row r="24" ht="15.75" customHeight="1">
      <c r="A24" s="58"/>
      <c r="B24" s="165" t="s">
        <v>101</v>
      </c>
      <c r="C24" s="166">
        <v>1.0</v>
      </c>
      <c r="D24" s="92" t="s">
        <v>109</v>
      </c>
      <c r="E24" s="94" t="s">
        <v>19</v>
      </c>
      <c r="F24" s="196"/>
      <c r="G24" s="196"/>
      <c r="H24" s="196"/>
      <c r="I24" s="196"/>
      <c r="J24" s="196"/>
      <c r="K24" s="196"/>
      <c r="L24" s="196"/>
      <c r="M24" s="196"/>
      <c r="N24" s="196"/>
      <c r="O24" s="196"/>
      <c r="P24" s="196"/>
      <c r="Q24" s="196"/>
      <c r="R24" s="98">
        <f t="shared" si="1"/>
        <v>0</v>
      </c>
      <c r="S24" s="100" t="str">
        <f>IFERROR(R25/R24,"")</f>
        <v/>
      </c>
      <c r="T24" s="101"/>
    </row>
    <row r="25" ht="15.75" customHeight="1">
      <c r="A25" s="58"/>
      <c r="B25" s="82"/>
      <c r="C25" s="78"/>
      <c r="D25" s="78"/>
      <c r="E25" s="94" t="s">
        <v>26</v>
      </c>
      <c r="F25" s="235"/>
      <c r="G25" s="235"/>
      <c r="H25" s="235"/>
      <c r="I25" s="235"/>
      <c r="J25" s="235"/>
      <c r="K25" s="235"/>
      <c r="L25" s="235"/>
      <c r="M25" s="235"/>
      <c r="N25" s="235"/>
      <c r="O25" s="235"/>
      <c r="P25" s="235"/>
      <c r="Q25" s="235"/>
      <c r="R25" s="98">
        <f t="shared" si="1"/>
        <v>0</v>
      </c>
      <c r="S25" s="78"/>
      <c r="T25" s="101"/>
    </row>
    <row r="26" ht="15.75" customHeight="1">
      <c r="A26" s="58"/>
      <c r="B26" s="82"/>
      <c r="C26" s="166">
        <v>2.0</v>
      </c>
      <c r="D26" s="92" t="s">
        <v>145</v>
      </c>
      <c r="E26" s="94" t="s">
        <v>19</v>
      </c>
      <c r="F26" s="196"/>
      <c r="G26" s="196"/>
      <c r="H26" s="196"/>
      <c r="I26" s="196"/>
      <c r="J26" s="196"/>
      <c r="K26" s="196"/>
      <c r="L26" s="196"/>
      <c r="M26" s="196"/>
      <c r="N26" s="196"/>
      <c r="O26" s="196"/>
      <c r="P26" s="196"/>
      <c r="Q26" s="196"/>
      <c r="R26" s="98">
        <f t="shared" si="1"/>
        <v>0</v>
      </c>
      <c r="S26" s="100" t="str">
        <f>IFERROR(R26/R27,"")</f>
        <v/>
      </c>
      <c r="T26" s="101"/>
    </row>
    <row r="27" ht="15.75" customHeight="1">
      <c r="A27" s="58"/>
      <c r="B27" s="82"/>
      <c r="C27" s="78"/>
      <c r="D27" s="78"/>
      <c r="E27" s="94" t="s">
        <v>26</v>
      </c>
      <c r="F27" s="235"/>
      <c r="G27" s="235"/>
      <c r="H27" s="235"/>
      <c r="I27" s="235"/>
      <c r="J27" s="235"/>
      <c r="K27" s="235"/>
      <c r="L27" s="235"/>
      <c r="M27" s="235"/>
      <c r="N27" s="235"/>
      <c r="O27" s="235"/>
      <c r="P27" s="235"/>
      <c r="Q27" s="235"/>
      <c r="R27" s="98">
        <f t="shared" si="1"/>
        <v>0</v>
      </c>
      <c r="S27" s="78"/>
      <c r="T27" s="101"/>
    </row>
    <row r="28" ht="15.75" customHeight="1">
      <c r="A28" s="58"/>
      <c r="B28" s="82"/>
      <c r="C28" s="166">
        <v>3.0</v>
      </c>
      <c r="D28" s="175" t="s">
        <v>166</v>
      </c>
      <c r="E28" s="94" t="s">
        <v>19</v>
      </c>
      <c r="F28" s="196"/>
      <c r="G28" s="196"/>
      <c r="H28" s="196"/>
      <c r="I28" s="196"/>
      <c r="J28" s="196"/>
      <c r="K28" s="196"/>
      <c r="L28" s="196"/>
      <c r="M28" s="196"/>
      <c r="N28" s="196"/>
      <c r="O28" s="196"/>
      <c r="P28" s="196"/>
      <c r="Q28" s="196"/>
      <c r="R28" s="98">
        <f t="shared" si="1"/>
        <v>0</v>
      </c>
      <c r="S28" s="100" t="str">
        <f>IFERROR(R29/R28,"")</f>
        <v/>
      </c>
      <c r="T28" s="101"/>
    </row>
    <row r="29" ht="15.75" customHeight="1">
      <c r="A29" s="58"/>
      <c r="B29" s="78"/>
      <c r="C29" s="78"/>
      <c r="D29" s="78"/>
      <c r="E29" s="94" t="s">
        <v>26</v>
      </c>
      <c r="F29" s="235"/>
      <c r="G29" s="235"/>
      <c r="H29" s="235"/>
      <c r="I29" s="235"/>
      <c r="J29" s="235"/>
      <c r="K29" s="235"/>
      <c r="L29" s="235"/>
      <c r="M29" s="235"/>
      <c r="N29" s="235"/>
      <c r="O29" s="235"/>
      <c r="P29" s="235"/>
      <c r="Q29" s="235"/>
      <c r="R29" s="98">
        <f t="shared" si="1"/>
        <v>0</v>
      </c>
      <c r="S29" s="78"/>
      <c r="T29" s="101"/>
    </row>
    <row r="30" ht="15.75" customHeight="1">
      <c r="A30" s="58"/>
      <c r="B30" s="58"/>
      <c r="C30" s="58"/>
      <c r="D30" s="58"/>
      <c r="E30" s="177"/>
      <c r="F30" s="178"/>
      <c r="G30" s="178"/>
      <c r="H30" s="178"/>
      <c r="I30" s="178"/>
      <c r="J30" s="178"/>
      <c r="K30" s="178"/>
      <c r="L30" s="178"/>
      <c r="M30" s="178"/>
      <c r="N30" s="178"/>
      <c r="O30" s="178"/>
      <c r="P30" s="178"/>
      <c r="Q30" s="178"/>
      <c r="R30" s="178"/>
      <c r="S30" s="101"/>
      <c r="T30" s="179">
        <v>0.01</v>
      </c>
    </row>
  </sheetData>
  <mergeCells count="49">
    <mergeCell ref="C4:C5"/>
    <mergeCell ref="D4:D5"/>
    <mergeCell ref="D6:D7"/>
    <mergeCell ref="D8:D9"/>
    <mergeCell ref="D10:D11"/>
    <mergeCell ref="D12:D13"/>
    <mergeCell ref="D14:D15"/>
    <mergeCell ref="B4:B9"/>
    <mergeCell ref="C6:C7"/>
    <mergeCell ref="C8:C9"/>
    <mergeCell ref="B10:B15"/>
    <mergeCell ref="C10:C11"/>
    <mergeCell ref="C12:C13"/>
    <mergeCell ref="C22:C23"/>
    <mergeCell ref="B2:D2"/>
    <mergeCell ref="F2:H2"/>
    <mergeCell ref="I2:K2"/>
    <mergeCell ref="L2:N2"/>
    <mergeCell ref="O2:Q2"/>
    <mergeCell ref="B3:C3"/>
    <mergeCell ref="S4:S5"/>
    <mergeCell ref="C14:C15"/>
    <mergeCell ref="C16:C17"/>
    <mergeCell ref="D16:D17"/>
    <mergeCell ref="D18:D19"/>
    <mergeCell ref="C18:C19"/>
    <mergeCell ref="C20:C21"/>
    <mergeCell ref="D20:D21"/>
    <mergeCell ref="D22:D23"/>
    <mergeCell ref="D24:D25"/>
    <mergeCell ref="S20:S21"/>
    <mergeCell ref="S22:S23"/>
    <mergeCell ref="S24:S25"/>
    <mergeCell ref="S26:S27"/>
    <mergeCell ref="S28:S29"/>
    <mergeCell ref="S6:S7"/>
    <mergeCell ref="S8:S9"/>
    <mergeCell ref="S10:S11"/>
    <mergeCell ref="S12:S13"/>
    <mergeCell ref="S14:S15"/>
    <mergeCell ref="S16:S17"/>
    <mergeCell ref="S18:S19"/>
    <mergeCell ref="B16:B23"/>
    <mergeCell ref="B24:B29"/>
    <mergeCell ref="C24:C25"/>
    <mergeCell ref="C26:C27"/>
    <mergeCell ref="D26:D27"/>
    <mergeCell ref="C28:C29"/>
    <mergeCell ref="D28:D29"/>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outlineLevelCol="4"/>
  <cols>
    <col customWidth="1" min="1" max="1" width="2.75"/>
    <col customWidth="1" min="2" max="2" width="5.63"/>
    <col customWidth="1" min="3" max="3" width="4.63"/>
    <col customWidth="1" min="4" max="4" width="19.25"/>
    <col customWidth="1" min="5" max="5" width="5.13"/>
    <col customWidth="1" min="6" max="29" width="7.63"/>
    <col customWidth="1" min="30" max="30" width="7.75"/>
    <col customWidth="1" min="31" max="31" width="9.63"/>
    <col customWidth="1" min="32" max="32" width="2.75"/>
  </cols>
  <sheetData>
    <row r="1" ht="15.75" customHeight="1">
      <c r="A1" s="58"/>
      <c r="B1" s="58"/>
      <c r="C1" s="58"/>
      <c r="D1" s="58"/>
      <c r="E1" s="59"/>
      <c r="F1" s="239"/>
      <c r="G1" s="239"/>
      <c r="H1" s="239"/>
      <c r="I1" s="239"/>
      <c r="J1" s="239"/>
      <c r="K1" s="239"/>
      <c r="L1" s="239"/>
      <c r="M1" s="239"/>
      <c r="N1" s="239"/>
      <c r="O1" s="239"/>
      <c r="P1" s="239"/>
      <c r="Q1" s="239"/>
      <c r="R1" s="239"/>
      <c r="S1" s="239"/>
      <c r="T1" s="239"/>
      <c r="U1" s="239"/>
      <c r="V1" s="239"/>
      <c r="W1" s="239"/>
      <c r="X1" s="239"/>
      <c r="Y1" s="239"/>
      <c r="Z1" s="239"/>
      <c r="AA1" s="239"/>
      <c r="AB1" s="239"/>
      <c r="AC1" s="239"/>
      <c r="AD1" s="59"/>
      <c r="AE1" s="64"/>
      <c r="AF1" s="64"/>
    </row>
    <row r="2" ht="15.75" customHeight="1">
      <c r="A2" s="58"/>
      <c r="B2" s="65" t="s">
        <v>245</v>
      </c>
      <c r="C2" s="63"/>
      <c r="D2" s="66"/>
      <c r="E2" s="67"/>
      <c r="F2" s="240" t="s">
        <v>56</v>
      </c>
      <c r="G2" s="212"/>
      <c r="H2" s="212"/>
      <c r="I2" s="213"/>
      <c r="J2" s="241" t="s">
        <v>57</v>
      </c>
      <c r="K2" s="212"/>
      <c r="L2" s="212"/>
      <c r="M2" s="213"/>
      <c r="N2" s="241" t="s">
        <v>58</v>
      </c>
      <c r="O2" s="212"/>
      <c r="P2" s="212"/>
      <c r="Q2" s="213"/>
      <c r="R2" s="241" t="s">
        <v>59</v>
      </c>
      <c r="S2" s="212"/>
      <c r="T2" s="212"/>
      <c r="U2" s="213"/>
      <c r="V2" s="241" t="s">
        <v>61</v>
      </c>
      <c r="W2" s="212"/>
      <c r="X2" s="212"/>
      <c r="Y2" s="213"/>
      <c r="Z2" s="241" t="s">
        <v>62</v>
      </c>
      <c r="AA2" s="212"/>
      <c r="AB2" s="212"/>
      <c r="AC2" s="213"/>
      <c r="AD2" s="69"/>
      <c r="AE2" s="71"/>
      <c r="AF2" s="64"/>
    </row>
    <row r="3" ht="15.75" customHeight="1">
      <c r="A3" s="58"/>
      <c r="B3" s="72"/>
      <c r="C3" s="66"/>
      <c r="D3" s="75" t="s">
        <v>7</v>
      </c>
      <c r="E3" s="76"/>
      <c r="F3" s="242" t="s">
        <v>95</v>
      </c>
      <c r="G3" s="243" t="s">
        <v>96</v>
      </c>
      <c r="H3" s="243" t="s">
        <v>97</v>
      </c>
      <c r="I3" s="243" t="s">
        <v>98</v>
      </c>
      <c r="J3" s="242" t="s">
        <v>99</v>
      </c>
      <c r="K3" s="243" t="s">
        <v>100</v>
      </c>
      <c r="L3" s="243" t="s">
        <v>102</v>
      </c>
      <c r="M3" s="243" t="s">
        <v>103</v>
      </c>
      <c r="N3" s="242" t="s">
        <v>104</v>
      </c>
      <c r="O3" s="243" t="s">
        <v>105</v>
      </c>
      <c r="P3" s="243" t="s">
        <v>106</v>
      </c>
      <c r="Q3" s="243" t="s">
        <v>107</v>
      </c>
      <c r="R3" s="242" t="s">
        <v>108</v>
      </c>
      <c r="S3" s="243" t="s">
        <v>110</v>
      </c>
      <c r="T3" s="243" t="s">
        <v>111</v>
      </c>
      <c r="U3" s="243" t="s">
        <v>112</v>
      </c>
      <c r="V3" s="242" t="s">
        <v>113</v>
      </c>
      <c r="W3" s="243" t="s">
        <v>114</v>
      </c>
      <c r="X3" s="243" t="s">
        <v>115</v>
      </c>
      <c r="Y3" s="243" t="s">
        <v>116</v>
      </c>
      <c r="Z3" s="242" t="s">
        <v>117</v>
      </c>
      <c r="AA3" s="243" t="s">
        <v>118</v>
      </c>
      <c r="AB3" s="243" t="s">
        <v>119</v>
      </c>
      <c r="AC3" s="243" t="s">
        <v>120</v>
      </c>
      <c r="AD3" s="79" t="s">
        <v>37</v>
      </c>
      <c r="AE3" s="85" t="s">
        <v>253</v>
      </c>
      <c r="AF3" s="58"/>
    </row>
    <row r="4" ht="15.75" customHeight="1">
      <c r="A4" s="64"/>
      <c r="B4" s="88" t="s">
        <v>17</v>
      </c>
      <c r="C4" s="89">
        <v>1.0</v>
      </c>
      <c r="D4" s="92" t="s">
        <v>18</v>
      </c>
      <c r="E4" s="94" t="s">
        <v>19</v>
      </c>
      <c r="F4" s="244"/>
      <c r="G4" s="245"/>
      <c r="H4" s="245"/>
      <c r="I4" s="245"/>
      <c r="J4" s="245"/>
      <c r="K4" s="245"/>
      <c r="L4" s="245"/>
      <c r="M4" s="245"/>
      <c r="N4" s="245"/>
      <c r="O4" s="245"/>
      <c r="P4" s="245"/>
      <c r="Q4" s="245"/>
      <c r="R4" s="245"/>
      <c r="S4" s="245"/>
      <c r="T4" s="245"/>
      <c r="U4" s="245"/>
      <c r="V4" s="245"/>
      <c r="W4" s="245"/>
      <c r="X4" s="245"/>
      <c r="Y4" s="245"/>
      <c r="Z4" s="245"/>
      <c r="AA4" s="245"/>
      <c r="AB4" s="245"/>
      <c r="AC4" s="245"/>
      <c r="AD4" s="246">
        <f t="shared" ref="AD4:AD29" si="1">SUM(F4:AC4)</f>
        <v>0</v>
      </c>
      <c r="AE4" s="100" t="str">
        <f>IFERROR(AD5/AD4,"")</f>
        <v/>
      </c>
      <c r="AF4" s="101"/>
    </row>
    <row r="5" ht="15.75" customHeight="1">
      <c r="A5" s="64"/>
      <c r="B5" s="82"/>
      <c r="C5" s="78"/>
      <c r="D5" s="78"/>
      <c r="E5" s="94" t="s">
        <v>26</v>
      </c>
      <c r="F5" s="247"/>
      <c r="G5" s="248"/>
      <c r="H5" s="248"/>
      <c r="I5" s="248"/>
      <c r="J5" s="248"/>
      <c r="K5" s="248"/>
      <c r="L5" s="248"/>
      <c r="M5" s="248"/>
      <c r="N5" s="248"/>
      <c r="O5" s="248"/>
      <c r="P5" s="248"/>
      <c r="Q5" s="248"/>
      <c r="R5" s="248"/>
      <c r="S5" s="248"/>
      <c r="T5" s="248"/>
      <c r="U5" s="248"/>
      <c r="V5" s="248"/>
      <c r="W5" s="248"/>
      <c r="X5" s="248"/>
      <c r="Y5" s="248"/>
      <c r="Z5" s="248"/>
      <c r="AA5" s="248"/>
      <c r="AB5" s="248"/>
      <c r="AC5" s="248"/>
      <c r="AD5" s="246">
        <f t="shared" si="1"/>
        <v>0</v>
      </c>
      <c r="AE5" s="78"/>
      <c r="AF5" s="101"/>
    </row>
    <row r="6" ht="15.75" customHeight="1">
      <c r="A6" s="64"/>
      <c r="B6" s="82"/>
      <c r="C6" s="89">
        <v>2.0</v>
      </c>
      <c r="D6" s="236" t="s">
        <v>40</v>
      </c>
      <c r="E6" s="94" t="s">
        <v>19</v>
      </c>
      <c r="F6" s="244"/>
      <c r="G6" s="245"/>
      <c r="H6" s="245"/>
      <c r="I6" s="245"/>
      <c r="J6" s="245"/>
      <c r="K6" s="245"/>
      <c r="L6" s="245"/>
      <c r="M6" s="245"/>
      <c r="N6" s="245"/>
      <c r="O6" s="245"/>
      <c r="P6" s="245"/>
      <c r="Q6" s="245"/>
      <c r="R6" s="245"/>
      <c r="S6" s="245"/>
      <c r="T6" s="245"/>
      <c r="U6" s="245"/>
      <c r="V6" s="245"/>
      <c r="W6" s="245"/>
      <c r="X6" s="245"/>
      <c r="Y6" s="245"/>
      <c r="Z6" s="245"/>
      <c r="AA6" s="245"/>
      <c r="AB6" s="245"/>
      <c r="AC6" s="245"/>
      <c r="AD6" s="246">
        <f t="shared" si="1"/>
        <v>0</v>
      </c>
      <c r="AE6" s="100" t="str">
        <f>IFERROR(AD7/AD6,"")</f>
        <v/>
      </c>
      <c r="AF6" s="101"/>
    </row>
    <row r="7" ht="15.75" customHeight="1">
      <c r="A7" s="64"/>
      <c r="B7" s="82"/>
      <c r="C7" s="78"/>
      <c r="E7" s="94" t="s">
        <v>26</v>
      </c>
      <c r="F7" s="247"/>
      <c r="G7" s="248"/>
      <c r="H7" s="248"/>
      <c r="I7" s="248"/>
      <c r="J7" s="248"/>
      <c r="K7" s="248"/>
      <c r="L7" s="248"/>
      <c r="M7" s="248"/>
      <c r="N7" s="248"/>
      <c r="O7" s="248"/>
      <c r="P7" s="248"/>
      <c r="Q7" s="248"/>
      <c r="R7" s="248"/>
      <c r="S7" s="248"/>
      <c r="T7" s="248"/>
      <c r="U7" s="248"/>
      <c r="V7" s="248"/>
      <c r="W7" s="248"/>
      <c r="X7" s="248"/>
      <c r="Y7" s="248"/>
      <c r="Z7" s="248"/>
      <c r="AA7" s="248"/>
      <c r="AB7" s="248"/>
      <c r="AC7" s="248"/>
      <c r="AD7" s="246">
        <f t="shared" si="1"/>
        <v>0</v>
      </c>
      <c r="AE7" s="78"/>
      <c r="AF7" s="101"/>
    </row>
    <row r="8" ht="15.75" customHeight="1">
      <c r="A8" s="64"/>
      <c r="B8" s="82"/>
      <c r="C8" s="89">
        <v>3.0</v>
      </c>
      <c r="D8" s="92" t="s">
        <v>42</v>
      </c>
      <c r="E8" s="94" t="s">
        <v>19</v>
      </c>
      <c r="F8" s="244"/>
      <c r="G8" s="245"/>
      <c r="H8" s="245"/>
      <c r="I8" s="245"/>
      <c r="J8" s="245"/>
      <c r="K8" s="245"/>
      <c r="L8" s="245"/>
      <c r="M8" s="245"/>
      <c r="N8" s="245"/>
      <c r="O8" s="245"/>
      <c r="P8" s="245"/>
      <c r="Q8" s="245"/>
      <c r="R8" s="245"/>
      <c r="S8" s="245"/>
      <c r="T8" s="245"/>
      <c r="U8" s="245"/>
      <c r="V8" s="245"/>
      <c r="W8" s="245"/>
      <c r="X8" s="245"/>
      <c r="Y8" s="245"/>
      <c r="Z8" s="245"/>
      <c r="AA8" s="245"/>
      <c r="AB8" s="245"/>
      <c r="AC8" s="245"/>
      <c r="AD8" s="246">
        <f t="shared" si="1"/>
        <v>0</v>
      </c>
      <c r="AE8" s="100" t="str">
        <f>IFERROR(AD9/AD8,"")</f>
        <v/>
      </c>
      <c r="AF8" s="101"/>
    </row>
    <row r="9" ht="15.75" customHeight="1">
      <c r="A9" s="64"/>
      <c r="B9" s="78"/>
      <c r="C9" s="78"/>
      <c r="D9" s="78"/>
      <c r="E9" s="94" t="s">
        <v>26</v>
      </c>
      <c r="F9" s="247"/>
      <c r="G9" s="248"/>
      <c r="H9" s="248"/>
      <c r="I9" s="248"/>
      <c r="J9" s="248"/>
      <c r="K9" s="248"/>
      <c r="L9" s="248"/>
      <c r="M9" s="248"/>
      <c r="N9" s="248"/>
      <c r="O9" s="248"/>
      <c r="P9" s="248"/>
      <c r="Q9" s="248"/>
      <c r="R9" s="248"/>
      <c r="S9" s="248"/>
      <c r="T9" s="248"/>
      <c r="U9" s="248"/>
      <c r="V9" s="248"/>
      <c r="W9" s="248"/>
      <c r="X9" s="248"/>
      <c r="Y9" s="248"/>
      <c r="Z9" s="248"/>
      <c r="AA9" s="248"/>
      <c r="AB9" s="248"/>
      <c r="AC9" s="248"/>
      <c r="AD9" s="246">
        <f t="shared" si="1"/>
        <v>0</v>
      </c>
      <c r="AE9" s="78"/>
      <c r="AF9" s="101"/>
    </row>
    <row r="10" ht="15.75" customHeight="1">
      <c r="A10" s="64"/>
      <c r="B10" s="88" t="s">
        <v>44</v>
      </c>
      <c r="C10" s="89">
        <v>1.0</v>
      </c>
      <c r="D10" s="92" t="s">
        <v>46</v>
      </c>
      <c r="E10" s="94" t="s">
        <v>19</v>
      </c>
      <c r="F10" s="244"/>
      <c r="G10" s="245"/>
      <c r="H10" s="245"/>
      <c r="I10" s="245"/>
      <c r="J10" s="245"/>
      <c r="K10" s="245"/>
      <c r="L10" s="245"/>
      <c r="M10" s="245"/>
      <c r="N10" s="245"/>
      <c r="O10" s="245"/>
      <c r="P10" s="245"/>
      <c r="Q10" s="245"/>
      <c r="R10" s="245"/>
      <c r="S10" s="245"/>
      <c r="T10" s="245"/>
      <c r="U10" s="245"/>
      <c r="V10" s="245"/>
      <c r="W10" s="245"/>
      <c r="X10" s="245"/>
      <c r="Y10" s="245"/>
      <c r="Z10" s="245"/>
      <c r="AA10" s="245"/>
      <c r="AB10" s="245"/>
      <c r="AC10" s="245"/>
      <c r="AD10" s="246">
        <f t="shared" si="1"/>
        <v>0</v>
      </c>
      <c r="AE10" s="100" t="str">
        <f>IFERROR(AD11/AD10,"")</f>
        <v/>
      </c>
      <c r="AF10" s="101"/>
    </row>
    <row r="11" ht="15.75" customHeight="1">
      <c r="A11" s="64"/>
      <c r="B11" s="82"/>
      <c r="C11" s="78"/>
      <c r="D11" s="78"/>
      <c r="E11" s="94" t="s">
        <v>26</v>
      </c>
      <c r="F11" s="247"/>
      <c r="G11" s="248"/>
      <c r="H11" s="248"/>
      <c r="I11" s="248"/>
      <c r="J11" s="248"/>
      <c r="K11" s="248"/>
      <c r="L11" s="248"/>
      <c r="M11" s="248"/>
      <c r="N11" s="248"/>
      <c r="O11" s="248"/>
      <c r="P11" s="248"/>
      <c r="Q11" s="248"/>
      <c r="R11" s="248"/>
      <c r="S11" s="248"/>
      <c r="T11" s="248"/>
      <c r="U11" s="248"/>
      <c r="V11" s="248"/>
      <c r="W11" s="248"/>
      <c r="X11" s="248"/>
      <c r="Y11" s="248"/>
      <c r="Z11" s="248"/>
      <c r="AA11" s="248"/>
      <c r="AB11" s="248"/>
      <c r="AC11" s="248"/>
      <c r="AD11" s="246">
        <f t="shared" si="1"/>
        <v>0</v>
      </c>
      <c r="AE11" s="78"/>
      <c r="AF11" s="101"/>
    </row>
    <row r="12" ht="15.75" customHeight="1">
      <c r="A12" s="64"/>
      <c r="B12" s="82"/>
      <c r="C12" s="89">
        <v>2.0</v>
      </c>
      <c r="D12" s="92" t="s">
        <v>52</v>
      </c>
      <c r="E12" s="94" t="s">
        <v>19</v>
      </c>
      <c r="F12" s="244"/>
      <c r="G12" s="245"/>
      <c r="H12" s="245"/>
      <c r="I12" s="245"/>
      <c r="J12" s="245"/>
      <c r="K12" s="245"/>
      <c r="L12" s="245"/>
      <c r="M12" s="245"/>
      <c r="N12" s="245"/>
      <c r="O12" s="245"/>
      <c r="P12" s="245"/>
      <c r="Q12" s="245"/>
      <c r="R12" s="245"/>
      <c r="S12" s="245"/>
      <c r="T12" s="245"/>
      <c r="U12" s="245"/>
      <c r="V12" s="245"/>
      <c r="W12" s="245"/>
      <c r="X12" s="245"/>
      <c r="Y12" s="245"/>
      <c r="Z12" s="245"/>
      <c r="AA12" s="245"/>
      <c r="AB12" s="245"/>
      <c r="AC12" s="245"/>
      <c r="AD12" s="246">
        <f t="shared" si="1"/>
        <v>0</v>
      </c>
      <c r="AE12" s="100" t="str">
        <f>IFERROR(AD13/AD12,"")</f>
        <v/>
      </c>
      <c r="AF12" s="101"/>
    </row>
    <row r="13" ht="15.75" customHeight="1">
      <c r="A13" s="64"/>
      <c r="B13" s="82"/>
      <c r="C13" s="78"/>
      <c r="D13" s="78"/>
      <c r="E13" s="94" t="s">
        <v>26</v>
      </c>
      <c r="F13" s="247"/>
      <c r="G13" s="248"/>
      <c r="H13" s="248"/>
      <c r="I13" s="248"/>
      <c r="J13" s="248"/>
      <c r="K13" s="248"/>
      <c r="L13" s="248"/>
      <c r="M13" s="248"/>
      <c r="N13" s="248"/>
      <c r="O13" s="248"/>
      <c r="P13" s="248"/>
      <c r="Q13" s="248"/>
      <c r="R13" s="248"/>
      <c r="S13" s="248"/>
      <c r="T13" s="248"/>
      <c r="U13" s="248"/>
      <c r="V13" s="248"/>
      <c r="W13" s="248"/>
      <c r="X13" s="248"/>
      <c r="Y13" s="248"/>
      <c r="Z13" s="248"/>
      <c r="AA13" s="248"/>
      <c r="AB13" s="248"/>
      <c r="AC13" s="248"/>
      <c r="AD13" s="246">
        <f t="shared" si="1"/>
        <v>0</v>
      </c>
      <c r="AE13" s="78"/>
      <c r="AF13" s="101"/>
    </row>
    <row r="14" ht="15.75" customHeight="1">
      <c r="A14" s="64"/>
      <c r="B14" s="82"/>
      <c r="C14" s="89">
        <v>3.0</v>
      </c>
      <c r="D14" s="92" t="s">
        <v>53</v>
      </c>
      <c r="E14" s="94" t="s">
        <v>19</v>
      </c>
      <c r="F14" s="244"/>
      <c r="G14" s="245"/>
      <c r="H14" s="245"/>
      <c r="I14" s="245"/>
      <c r="J14" s="245"/>
      <c r="K14" s="245"/>
      <c r="L14" s="245"/>
      <c r="M14" s="245"/>
      <c r="N14" s="245"/>
      <c r="O14" s="245"/>
      <c r="P14" s="245"/>
      <c r="Q14" s="245"/>
      <c r="R14" s="245"/>
      <c r="S14" s="245"/>
      <c r="T14" s="245"/>
      <c r="U14" s="245"/>
      <c r="V14" s="245"/>
      <c r="W14" s="245"/>
      <c r="X14" s="245"/>
      <c r="Y14" s="245"/>
      <c r="Z14" s="245"/>
      <c r="AA14" s="245"/>
      <c r="AB14" s="245"/>
      <c r="AC14" s="245"/>
      <c r="AD14" s="246">
        <f t="shared" si="1"/>
        <v>0</v>
      </c>
      <c r="AE14" s="100" t="str">
        <f>IFERROR(AD15/AD14,"")</f>
        <v/>
      </c>
      <c r="AF14" s="101"/>
    </row>
    <row r="15" ht="15.75" customHeight="1">
      <c r="A15" s="64"/>
      <c r="B15" s="78"/>
      <c r="C15" s="78"/>
      <c r="D15" s="78"/>
      <c r="E15" s="94" t="s">
        <v>26</v>
      </c>
      <c r="F15" s="247"/>
      <c r="G15" s="248"/>
      <c r="H15" s="248"/>
      <c r="I15" s="248"/>
      <c r="J15" s="248"/>
      <c r="K15" s="248"/>
      <c r="L15" s="248"/>
      <c r="M15" s="248"/>
      <c r="N15" s="248"/>
      <c r="O15" s="248"/>
      <c r="P15" s="248"/>
      <c r="Q15" s="248"/>
      <c r="R15" s="248"/>
      <c r="S15" s="248"/>
      <c r="T15" s="248"/>
      <c r="U15" s="248"/>
      <c r="V15" s="248"/>
      <c r="W15" s="248"/>
      <c r="X15" s="248"/>
      <c r="Y15" s="248"/>
      <c r="Z15" s="248"/>
      <c r="AA15" s="248"/>
      <c r="AB15" s="248"/>
      <c r="AC15" s="248"/>
      <c r="AD15" s="246">
        <f t="shared" si="1"/>
        <v>0</v>
      </c>
      <c r="AE15" s="78"/>
      <c r="AF15" s="101"/>
    </row>
    <row r="16" ht="15.75" customHeight="1">
      <c r="A16" s="64"/>
      <c r="B16" s="88" t="s">
        <v>54</v>
      </c>
      <c r="C16" s="89">
        <v>1.0</v>
      </c>
      <c r="D16" s="92" t="s">
        <v>55</v>
      </c>
      <c r="E16" s="94" t="s">
        <v>19</v>
      </c>
      <c r="F16" s="244"/>
      <c r="G16" s="245"/>
      <c r="H16" s="245"/>
      <c r="I16" s="245"/>
      <c r="J16" s="245"/>
      <c r="K16" s="245"/>
      <c r="L16" s="245"/>
      <c r="M16" s="245"/>
      <c r="N16" s="245"/>
      <c r="O16" s="245"/>
      <c r="P16" s="245"/>
      <c r="Q16" s="245"/>
      <c r="R16" s="245"/>
      <c r="S16" s="245"/>
      <c r="T16" s="245"/>
      <c r="U16" s="245"/>
      <c r="V16" s="245"/>
      <c r="W16" s="245"/>
      <c r="X16" s="245"/>
      <c r="Y16" s="245"/>
      <c r="Z16" s="245"/>
      <c r="AA16" s="245"/>
      <c r="AB16" s="245"/>
      <c r="AC16" s="245"/>
      <c r="AD16" s="246">
        <f t="shared" si="1"/>
        <v>0</v>
      </c>
      <c r="AE16" s="100" t="str">
        <f>IFERROR(AD17/AD16,"")</f>
        <v/>
      </c>
      <c r="AF16" s="101"/>
    </row>
    <row r="17" ht="15.75" customHeight="1">
      <c r="A17" s="64"/>
      <c r="B17" s="82"/>
      <c r="C17" s="78"/>
      <c r="D17" s="78"/>
      <c r="E17" s="94" t="s">
        <v>26</v>
      </c>
      <c r="F17" s="247"/>
      <c r="G17" s="248"/>
      <c r="H17" s="248"/>
      <c r="I17" s="248"/>
      <c r="J17" s="248"/>
      <c r="K17" s="248"/>
      <c r="L17" s="248"/>
      <c r="M17" s="248"/>
      <c r="N17" s="248"/>
      <c r="O17" s="248"/>
      <c r="P17" s="248"/>
      <c r="Q17" s="248"/>
      <c r="R17" s="248"/>
      <c r="S17" s="248"/>
      <c r="T17" s="248"/>
      <c r="U17" s="248"/>
      <c r="V17" s="248"/>
      <c r="W17" s="248"/>
      <c r="X17" s="248"/>
      <c r="Y17" s="248"/>
      <c r="Z17" s="248"/>
      <c r="AA17" s="248"/>
      <c r="AB17" s="248"/>
      <c r="AC17" s="248"/>
      <c r="AD17" s="246">
        <f t="shared" si="1"/>
        <v>0</v>
      </c>
      <c r="AE17" s="78"/>
      <c r="AF17" s="101"/>
    </row>
    <row r="18" ht="15.75" customHeight="1">
      <c r="A18" s="64"/>
      <c r="B18" s="82"/>
      <c r="C18" s="89">
        <v>2.0</v>
      </c>
      <c r="D18" s="236" t="s">
        <v>250</v>
      </c>
      <c r="E18" s="94" t="s">
        <v>19</v>
      </c>
      <c r="F18" s="244"/>
      <c r="G18" s="245"/>
      <c r="H18" s="245"/>
      <c r="I18" s="245"/>
      <c r="J18" s="245"/>
      <c r="K18" s="245"/>
      <c r="L18" s="245"/>
      <c r="M18" s="245"/>
      <c r="N18" s="245"/>
      <c r="O18" s="245"/>
      <c r="P18" s="245"/>
      <c r="Q18" s="245"/>
      <c r="R18" s="245"/>
      <c r="S18" s="245"/>
      <c r="T18" s="245"/>
      <c r="U18" s="245"/>
      <c r="V18" s="245"/>
      <c r="W18" s="245"/>
      <c r="X18" s="245"/>
      <c r="Y18" s="245"/>
      <c r="Z18" s="245"/>
      <c r="AA18" s="245"/>
      <c r="AB18" s="245"/>
      <c r="AC18" s="245"/>
      <c r="AD18" s="246">
        <f t="shared" si="1"/>
        <v>0</v>
      </c>
      <c r="AE18" s="100" t="str">
        <f>IFERROR(AD19/AD18,"")</f>
        <v/>
      </c>
      <c r="AF18" s="101"/>
    </row>
    <row r="19" ht="15.75" customHeight="1">
      <c r="A19" s="64"/>
      <c r="B19" s="82"/>
      <c r="C19" s="78"/>
      <c r="E19" s="94" t="s">
        <v>26</v>
      </c>
      <c r="F19" s="247"/>
      <c r="G19" s="248"/>
      <c r="H19" s="248"/>
      <c r="I19" s="248"/>
      <c r="J19" s="248"/>
      <c r="K19" s="248"/>
      <c r="L19" s="248"/>
      <c r="M19" s="248"/>
      <c r="N19" s="248"/>
      <c r="O19" s="248"/>
      <c r="P19" s="248"/>
      <c r="Q19" s="248"/>
      <c r="R19" s="248"/>
      <c r="S19" s="248"/>
      <c r="T19" s="248"/>
      <c r="U19" s="248"/>
      <c r="V19" s="248"/>
      <c r="W19" s="248"/>
      <c r="X19" s="248"/>
      <c r="Y19" s="248"/>
      <c r="Z19" s="248"/>
      <c r="AA19" s="248"/>
      <c r="AB19" s="248"/>
      <c r="AC19" s="248"/>
      <c r="AD19" s="246">
        <f t="shared" si="1"/>
        <v>0</v>
      </c>
      <c r="AE19" s="78"/>
      <c r="AF19" s="101"/>
    </row>
    <row r="20" ht="15.75" customHeight="1">
      <c r="A20" s="64"/>
      <c r="B20" s="82"/>
      <c r="C20" s="89">
        <v>3.0</v>
      </c>
      <c r="D20" s="146" t="s">
        <v>251</v>
      </c>
      <c r="E20" s="94" t="s">
        <v>19</v>
      </c>
      <c r="F20" s="244"/>
      <c r="G20" s="245"/>
      <c r="H20" s="245"/>
      <c r="I20" s="245"/>
      <c r="J20" s="245"/>
      <c r="K20" s="245"/>
      <c r="L20" s="245"/>
      <c r="M20" s="245"/>
      <c r="N20" s="245"/>
      <c r="O20" s="245"/>
      <c r="P20" s="245"/>
      <c r="Q20" s="245"/>
      <c r="R20" s="245"/>
      <c r="S20" s="245"/>
      <c r="T20" s="245"/>
      <c r="U20" s="245"/>
      <c r="V20" s="245"/>
      <c r="W20" s="245"/>
      <c r="X20" s="245"/>
      <c r="Y20" s="245"/>
      <c r="Z20" s="245"/>
      <c r="AA20" s="245"/>
      <c r="AB20" s="245"/>
      <c r="AC20" s="245"/>
      <c r="AD20" s="246">
        <f t="shared" si="1"/>
        <v>0</v>
      </c>
      <c r="AE20" s="100" t="str">
        <f>IFERROR(AD21/AD20,"")</f>
        <v/>
      </c>
      <c r="AF20" s="101"/>
    </row>
    <row r="21" ht="15.75" customHeight="1">
      <c r="A21" s="64"/>
      <c r="B21" s="82"/>
      <c r="C21" s="78"/>
      <c r="D21" s="78"/>
      <c r="E21" s="94" t="s">
        <v>26</v>
      </c>
      <c r="F21" s="247"/>
      <c r="G21" s="248"/>
      <c r="H21" s="248"/>
      <c r="I21" s="248"/>
      <c r="J21" s="248"/>
      <c r="K21" s="248"/>
      <c r="L21" s="248"/>
      <c r="M21" s="248"/>
      <c r="N21" s="248"/>
      <c r="O21" s="248"/>
      <c r="P21" s="248"/>
      <c r="Q21" s="248"/>
      <c r="R21" s="248"/>
      <c r="S21" s="248"/>
      <c r="T21" s="248"/>
      <c r="U21" s="248"/>
      <c r="V21" s="248"/>
      <c r="W21" s="248"/>
      <c r="X21" s="248"/>
      <c r="Y21" s="248"/>
      <c r="Z21" s="248"/>
      <c r="AA21" s="248"/>
      <c r="AB21" s="248"/>
      <c r="AC21" s="248"/>
      <c r="AD21" s="246">
        <f t="shared" si="1"/>
        <v>0</v>
      </c>
      <c r="AE21" s="78"/>
      <c r="AF21" s="101"/>
    </row>
    <row r="22" ht="15.75" customHeight="1">
      <c r="A22" s="64"/>
      <c r="B22" s="82"/>
      <c r="C22" s="89">
        <v>4.0</v>
      </c>
      <c r="D22" s="92" t="s">
        <v>74</v>
      </c>
      <c r="E22" s="94" t="s">
        <v>19</v>
      </c>
      <c r="F22" s="244"/>
      <c r="G22" s="245"/>
      <c r="H22" s="245"/>
      <c r="I22" s="245"/>
      <c r="J22" s="245"/>
      <c r="K22" s="245"/>
      <c r="L22" s="245"/>
      <c r="M22" s="245"/>
      <c r="N22" s="245"/>
      <c r="O22" s="245"/>
      <c r="P22" s="245"/>
      <c r="Q22" s="245"/>
      <c r="R22" s="245"/>
      <c r="S22" s="245"/>
      <c r="T22" s="245"/>
      <c r="U22" s="245"/>
      <c r="V22" s="245"/>
      <c r="W22" s="245"/>
      <c r="X22" s="245"/>
      <c r="Y22" s="245"/>
      <c r="Z22" s="245"/>
      <c r="AA22" s="245"/>
      <c r="AB22" s="245"/>
      <c r="AC22" s="245"/>
      <c r="AD22" s="246">
        <f t="shared" si="1"/>
        <v>0</v>
      </c>
      <c r="AE22" s="100" t="str">
        <f>IFERROR(AD23/AD22,"")</f>
        <v/>
      </c>
      <c r="AF22" s="101"/>
    </row>
    <row r="23" ht="15.75" customHeight="1">
      <c r="A23" s="64"/>
      <c r="B23" s="78"/>
      <c r="C23" s="78"/>
      <c r="D23" s="78"/>
      <c r="E23" s="94" t="s">
        <v>26</v>
      </c>
      <c r="F23" s="247"/>
      <c r="G23" s="248"/>
      <c r="H23" s="248"/>
      <c r="I23" s="248"/>
      <c r="J23" s="248"/>
      <c r="K23" s="248"/>
      <c r="L23" s="248"/>
      <c r="M23" s="248"/>
      <c r="N23" s="248"/>
      <c r="O23" s="248"/>
      <c r="P23" s="248"/>
      <c r="Q23" s="248"/>
      <c r="R23" s="248"/>
      <c r="S23" s="248"/>
      <c r="T23" s="248"/>
      <c r="U23" s="248"/>
      <c r="V23" s="248"/>
      <c r="W23" s="248"/>
      <c r="X23" s="248"/>
      <c r="Y23" s="248"/>
      <c r="Z23" s="248"/>
      <c r="AA23" s="248"/>
      <c r="AB23" s="248"/>
      <c r="AC23" s="248"/>
      <c r="AD23" s="246">
        <f t="shared" si="1"/>
        <v>0</v>
      </c>
      <c r="AE23" s="78"/>
      <c r="AF23" s="101"/>
    </row>
    <row r="24" ht="15.75" customHeight="1">
      <c r="A24" s="58"/>
      <c r="B24" s="165" t="s">
        <v>101</v>
      </c>
      <c r="C24" s="166">
        <v>1.0</v>
      </c>
      <c r="D24" s="92" t="s">
        <v>109</v>
      </c>
      <c r="E24" s="94" t="s">
        <v>19</v>
      </c>
      <c r="F24" s="244"/>
      <c r="G24" s="245"/>
      <c r="H24" s="245"/>
      <c r="I24" s="245"/>
      <c r="J24" s="245"/>
      <c r="K24" s="245"/>
      <c r="L24" s="245"/>
      <c r="M24" s="245"/>
      <c r="N24" s="245"/>
      <c r="O24" s="245"/>
      <c r="P24" s="245"/>
      <c r="Q24" s="245"/>
      <c r="R24" s="245"/>
      <c r="S24" s="245"/>
      <c r="T24" s="245"/>
      <c r="U24" s="245"/>
      <c r="V24" s="245"/>
      <c r="W24" s="245"/>
      <c r="X24" s="245"/>
      <c r="Y24" s="245"/>
      <c r="Z24" s="245"/>
      <c r="AA24" s="245"/>
      <c r="AB24" s="245"/>
      <c r="AC24" s="245"/>
      <c r="AD24" s="246">
        <f t="shared" si="1"/>
        <v>0</v>
      </c>
      <c r="AE24" s="100" t="str">
        <f>IFERROR(AD25/AD24,"")</f>
        <v/>
      </c>
      <c r="AF24" s="101"/>
    </row>
    <row r="25" ht="15.75" customHeight="1">
      <c r="A25" s="58"/>
      <c r="B25" s="82"/>
      <c r="C25" s="78"/>
      <c r="D25" s="78"/>
      <c r="E25" s="94" t="s">
        <v>26</v>
      </c>
      <c r="F25" s="247"/>
      <c r="G25" s="248"/>
      <c r="H25" s="248"/>
      <c r="I25" s="248"/>
      <c r="J25" s="248"/>
      <c r="K25" s="248"/>
      <c r="L25" s="248"/>
      <c r="M25" s="248"/>
      <c r="N25" s="248"/>
      <c r="O25" s="248"/>
      <c r="P25" s="248"/>
      <c r="Q25" s="248"/>
      <c r="R25" s="248"/>
      <c r="S25" s="248"/>
      <c r="T25" s="248"/>
      <c r="U25" s="248"/>
      <c r="V25" s="248"/>
      <c r="W25" s="248"/>
      <c r="X25" s="248"/>
      <c r="Y25" s="248"/>
      <c r="Z25" s="248"/>
      <c r="AA25" s="248"/>
      <c r="AB25" s="248"/>
      <c r="AC25" s="248"/>
      <c r="AD25" s="246">
        <f t="shared" si="1"/>
        <v>0</v>
      </c>
      <c r="AE25" s="78"/>
      <c r="AF25" s="101"/>
    </row>
    <row r="26" ht="15.75" customHeight="1">
      <c r="A26" s="58"/>
      <c r="B26" s="82"/>
      <c r="C26" s="166">
        <v>2.0</v>
      </c>
      <c r="D26" s="92" t="s">
        <v>145</v>
      </c>
      <c r="E26" s="94" t="s">
        <v>19</v>
      </c>
      <c r="F26" s="244"/>
      <c r="G26" s="245"/>
      <c r="H26" s="245"/>
      <c r="I26" s="245"/>
      <c r="J26" s="245"/>
      <c r="K26" s="245"/>
      <c r="L26" s="245"/>
      <c r="M26" s="245"/>
      <c r="N26" s="245"/>
      <c r="O26" s="245"/>
      <c r="P26" s="245"/>
      <c r="Q26" s="245"/>
      <c r="R26" s="245"/>
      <c r="S26" s="245"/>
      <c r="T26" s="245"/>
      <c r="U26" s="245"/>
      <c r="V26" s="245"/>
      <c r="W26" s="245"/>
      <c r="X26" s="245"/>
      <c r="Y26" s="245"/>
      <c r="Z26" s="245"/>
      <c r="AA26" s="245"/>
      <c r="AB26" s="245"/>
      <c r="AC26" s="245"/>
      <c r="AD26" s="246">
        <f t="shared" si="1"/>
        <v>0</v>
      </c>
      <c r="AE26" s="100" t="str">
        <f>IFERROR(AD26/AD27,"")</f>
        <v/>
      </c>
      <c r="AF26" s="101"/>
    </row>
    <row r="27" ht="15.75" customHeight="1">
      <c r="A27" s="58"/>
      <c r="B27" s="82"/>
      <c r="C27" s="78"/>
      <c r="D27" s="78"/>
      <c r="E27" s="94" t="s">
        <v>26</v>
      </c>
      <c r="F27" s="247"/>
      <c r="G27" s="248"/>
      <c r="H27" s="248"/>
      <c r="I27" s="248"/>
      <c r="J27" s="248"/>
      <c r="K27" s="248"/>
      <c r="L27" s="248"/>
      <c r="M27" s="248"/>
      <c r="N27" s="248"/>
      <c r="O27" s="248"/>
      <c r="P27" s="248"/>
      <c r="Q27" s="248"/>
      <c r="R27" s="248"/>
      <c r="S27" s="248"/>
      <c r="T27" s="248"/>
      <c r="U27" s="248"/>
      <c r="V27" s="248"/>
      <c r="W27" s="248"/>
      <c r="X27" s="248"/>
      <c r="Y27" s="248"/>
      <c r="Z27" s="248"/>
      <c r="AA27" s="248"/>
      <c r="AB27" s="248"/>
      <c r="AC27" s="248"/>
      <c r="AD27" s="246">
        <f t="shared" si="1"/>
        <v>0</v>
      </c>
      <c r="AE27" s="78"/>
      <c r="AF27" s="101"/>
    </row>
    <row r="28" ht="15.75" customHeight="1">
      <c r="A28" s="58"/>
      <c r="B28" s="82"/>
      <c r="C28" s="166">
        <v>3.0</v>
      </c>
      <c r="D28" s="175" t="s">
        <v>166</v>
      </c>
      <c r="E28" s="94" t="s">
        <v>19</v>
      </c>
      <c r="F28" s="244"/>
      <c r="G28" s="245"/>
      <c r="H28" s="245"/>
      <c r="I28" s="245"/>
      <c r="J28" s="245"/>
      <c r="K28" s="245"/>
      <c r="L28" s="245"/>
      <c r="M28" s="245"/>
      <c r="N28" s="245"/>
      <c r="O28" s="245"/>
      <c r="P28" s="245"/>
      <c r="Q28" s="245"/>
      <c r="R28" s="245"/>
      <c r="S28" s="245"/>
      <c r="T28" s="245"/>
      <c r="U28" s="245"/>
      <c r="V28" s="245"/>
      <c r="W28" s="245"/>
      <c r="X28" s="245"/>
      <c r="Y28" s="245"/>
      <c r="Z28" s="245"/>
      <c r="AA28" s="245"/>
      <c r="AB28" s="245"/>
      <c r="AC28" s="245"/>
      <c r="AD28" s="246">
        <f t="shared" si="1"/>
        <v>0</v>
      </c>
      <c r="AE28" s="100" t="str">
        <f>IFERROR(AD29/AD28,"")</f>
        <v/>
      </c>
      <c r="AF28" s="101"/>
    </row>
    <row r="29" ht="15.75" customHeight="1">
      <c r="A29" s="58"/>
      <c r="B29" s="78"/>
      <c r="C29" s="78"/>
      <c r="D29" s="78"/>
      <c r="E29" s="94" t="s">
        <v>26</v>
      </c>
      <c r="F29" s="247"/>
      <c r="G29" s="248"/>
      <c r="H29" s="248"/>
      <c r="I29" s="248"/>
      <c r="J29" s="248"/>
      <c r="K29" s="248"/>
      <c r="L29" s="248"/>
      <c r="M29" s="248"/>
      <c r="N29" s="248"/>
      <c r="O29" s="248"/>
      <c r="P29" s="248"/>
      <c r="Q29" s="248"/>
      <c r="R29" s="248"/>
      <c r="S29" s="248"/>
      <c r="T29" s="248"/>
      <c r="U29" s="248"/>
      <c r="V29" s="248"/>
      <c r="W29" s="248"/>
      <c r="X29" s="248"/>
      <c r="Y29" s="248"/>
      <c r="Z29" s="248"/>
      <c r="AA29" s="248"/>
      <c r="AB29" s="248"/>
      <c r="AC29" s="248"/>
      <c r="AD29" s="246">
        <f t="shared" si="1"/>
        <v>0</v>
      </c>
      <c r="AE29" s="78"/>
      <c r="AF29" s="101"/>
    </row>
    <row r="30" ht="15.75" customHeight="1">
      <c r="A30" s="58"/>
      <c r="B30" s="58"/>
      <c r="C30" s="58"/>
      <c r="D30" s="58"/>
      <c r="E30" s="177"/>
      <c r="F30" s="255"/>
      <c r="G30" s="255"/>
      <c r="H30" s="255"/>
      <c r="I30" s="255"/>
      <c r="J30" s="255"/>
      <c r="K30" s="255"/>
      <c r="L30" s="255"/>
      <c r="M30" s="255"/>
      <c r="N30" s="255"/>
      <c r="O30" s="255"/>
      <c r="P30" s="255"/>
      <c r="Q30" s="255"/>
      <c r="R30" s="255"/>
      <c r="S30" s="255"/>
      <c r="T30" s="255"/>
      <c r="U30" s="255"/>
      <c r="V30" s="255"/>
      <c r="W30" s="255"/>
      <c r="X30" s="255"/>
      <c r="Y30" s="255"/>
      <c r="Z30" s="255"/>
      <c r="AA30" s="255"/>
      <c r="AB30" s="255"/>
      <c r="AC30" s="255"/>
      <c r="AD30" s="178"/>
      <c r="AE30" s="101"/>
      <c r="AF30" s="179">
        <v>0.01</v>
      </c>
    </row>
  </sheetData>
  <mergeCells count="51">
    <mergeCell ref="B2:D2"/>
    <mergeCell ref="F2:I2"/>
    <mergeCell ref="J2:M2"/>
    <mergeCell ref="N2:Q2"/>
    <mergeCell ref="R2:U2"/>
    <mergeCell ref="V2:Y2"/>
    <mergeCell ref="Z2:AC2"/>
    <mergeCell ref="B4:B9"/>
    <mergeCell ref="B10:B15"/>
    <mergeCell ref="B16:B23"/>
    <mergeCell ref="B24:B29"/>
    <mergeCell ref="B3:C3"/>
    <mergeCell ref="C4:C5"/>
    <mergeCell ref="D4:D5"/>
    <mergeCell ref="C6:C7"/>
    <mergeCell ref="D6:D7"/>
    <mergeCell ref="C8:C9"/>
    <mergeCell ref="D8:D9"/>
    <mergeCell ref="C16:C17"/>
    <mergeCell ref="C18:C19"/>
    <mergeCell ref="C20:C21"/>
    <mergeCell ref="C22:C23"/>
    <mergeCell ref="C24:C25"/>
    <mergeCell ref="C26:C27"/>
    <mergeCell ref="C28:C29"/>
    <mergeCell ref="D18:D19"/>
    <mergeCell ref="D20:D21"/>
    <mergeCell ref="D22:D23"/>
    <mergeCell ref="D24:D25"/>
    <mergeCell ref="D26:D27"/>
    <mergeCell ref="D28:D29"/>
    <mergeCell ref="C10:C11"/>
    <mergeCell ref="D10:D11"/>
    <mergeCell ref="C12:C13"/>
    <mergeCell ref="D12:D13"/>
    <mergeCell ref="C14:C15"/>
    <mergeCell ref="D14:D15"/>
    <mergeCell ref="D16:D17"/>
    <mergeCell ref="AE18:AE19"/>
    <mergeCell ref="AE20:AE21"/>
    <mergeCell ref="AE22:AE23"/>
    <mergeCell ref="AE24:AE25"/>
    <mergeCell ref="AE26:AE27"/>
    <mergeCell ref="AE28:AE29"/>
    <mergeCell ref="AE4:AE5"/>
    <mergeCell ref="AE6:AE7"/>
    <mergeCell ref="AE8:AE9"/>
    <mergeCell ref="AE10:AE11"/>
    <mergeCell ref="AE12:AE13"/>
    <mergeCell ref="AE14:AE15"/>
    <mergeCell ref="AE16:AE17"/>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outlineLevelCol="4"/>
  <cols>
    <col customWidth="1" min="1" max="1" width="2.75"/>
    <col customWidth="1" min="2" max="2" width="5.63"/>
    <col customWidth="1" min="3" max="3" width="4.63"/>
    <col customWidth="1" min="4" max="4" width="19.25"/>
    <col customWidth="1" min="5" max="5" width="5.13"/>
    <col customWidth="1" min="6" max="36" width="6.38"/>
    <col customWidth="1" min="37" max="37" width="7.75"/>
    <col customWidth="1" min="38" max="38" width="9.63"/>
    <col customWidth="1" min="39" max="39" width="2.75"/>
  </cols>
  <sheetData>
    <row r="1" ht="15.75" customHeight="1">
      <c r="A1" s="58"/>
      <c r="B1" s="58"/>
      <c r="C1" s="58"/>
      <c r="D1" s="58"/>
      <c r="E1" s="59"/>
      <c r="F1" s="59"/>
      <c r="G1" s="59"/>
      <c r="H1" s="59"/>
      <c r="I1" s="59"/>
      <c r="J1" s="59"/>
      <c r="K1" s="59"/>
      <c r="L1" s="59"/>
      <c r="M1" s="59"/>
      <c r="N1" s="59"/>
      <c r="O1" s="59"/>
      <c r="P1" s="59"/>
      <c r="Q1" s="59"/>
      <c r="R1" s="59"/>
      <c r="S1" s="59"/>
      <c r="T1" s="59"/>
      <c r="U1" s="59"/>
      <c r="V1" s="59"/>
      <c r="W1" s="59"/>
      <c r="X1" s="59"/>
      <c r="Y1" s="59"/>
      <c r="Z1" s="59"/>
      <c r="AA1" s="59"/>
      <c r="AB1" s="59"/>
      <c r="AC1" s="59"/>
      <c r="AD1" s="59"/>
      <c r="AE1" s="59"/>
      <c r="AF1" s="59"/>
      <c r="AG1" s="59"/>
      <c r="AH1" s="59"/>
      <c r="AI1" s="59"/>
      <c r="AJ1" s="59"/>
      <c r="AK1" s="59"/>
      <c r="AL1" s="64"/>
      <c r="AM1" s="64"/>
    </row>
    <row r="2" ht="15.75" customHeight="1">
      <c r="A2" s="58"/>
      <c r="B2" s="65" t="s">
        <v>247</v>
      </c>
      <c r="C2" s="63"/>
      <c r="D2" s="66"/>
      <c r="E2" s="67"/>
      <c r="F2" s="68" t="s">
        <v>95</v>
      </c>
      <c r="G2" s="63"/>
      <c r="H2" s="63"/>
      <c r="I2" s="63"/>
      <c r="J2" s="63"/>
      <c r="K2" s="63"/>
      <c r="L2" s="66"/>
      <c r="M2" s="68" t="s">
        <v>96</v>
      </c>
      <c r="N2" s="63"/>
      <c r="O2" s="63"/>
      <c r="P2" s="63"/>
      <c r="Q2" s="63"/>
      <c r="R2" s="63"/>
      <c r="S2" s="66"/>
      <c r="T2" s="68" t="s">
        <v>97</v>
      </c>
      <c r="U2" s="63"/>
      <c r="V2" s="63"/>
      <c r="W2" s="63"/>
      <c r="X2" s="63"/>
      <c r="Y2" s="63"/>
      <c r="Z2" s="66"/>
      <c r="AA2" s="68" t="s">
        <v>98</v>
      </c>
      <c r="AB2" s="63"/>
      <c r="AC2" s="63"/>
      <c r="AD2" s="63"/>
      <c r="AE2" s="63"/>
      <c r="AF2" s="63"/>
      <c r="AG2" s="66"/>
      <c r="AH2" s="68" t="s">
        <v>99</v>
      </c>
      <c r="AI2" s="63"/>
      <c r="AJ2" s="66"/>
      <c r="AK2" s="69"/>
      <c r="AL2" s="71"/>
      <c r="AM2" s="64"/>
    </row>
    <row r="3" ht="15.75" customHeight="1">
      <c r="A3" s="58"/>
      <c r="B3" s="72"/>
      <c r="C3" s="66"/>
      <c r="D3" s="75" t="s">
        <v>7</v>
      </c>
      <c r="E3" s="76"/>
      <c r="F3" s="232">
        <v>44228.0</v>
      </c>
      <c r="G3" s="233">
        <f t="shared" ref="G3:AJ3" si="1">F3+1</f>
        <v>44229</v>
      </c>
      <c r="H3" s="233">
        <f t="shared" si="1"/>
        <v>44230</v>
      </c>
      <c r="I3" s="233">
        <f t="shared" si="1"/>
        <v>44231</v>
      </c>
      <c r="J3" s="233">
        <f t="shared" si="1"/>
        <v>44232</v>
      </c>
      <c r="K3" s="233">
        <f t="shared" si="1"/>
        <v>44233</v>
      </c>
      <c r="L3" s="233">
        <f t="shared" si="1"/>
        <v>44234</v>
      </c>
      <c r="M3" s="233">
        <f t="shared" si="1"/>
        <v>44235</v>
      </c>
      <c r="N3" s="233">
        <f t="shared" si="1"/>
        <v>44236</v>
      </c>
      <c r="O3" s="233">
        <f t="shared" si="1"/>
        <v>44237</v>
      </c>
      <c r="P3" s="233">
        <f t="shared" si="1"/>
        <v>44238</v>
      </c>
      <c r="Q3" s="233">
        <f t="shared" si="1"/>
        <v>44239</v>
      </c>
      <c r="R3" s="233">
        <f t="shared" si="1"/>
        <v>44240</v>
      </c>
      <c r="S3" s="233">
        <f t="shared" si="1"/>
        <v>44241</v>
      </c>
      <c r="T3" s="233">
        <f t="shared" si="1"/>
        <v>44242</v>
      </c>
      <c r="U3" s="233">
        <f t="shared" si="1"/>
        <v>44243</v>
      </c>
      <c r="V3" s="233">
        <f t="shared" si="1"/>
        <v>44244</v>
      </c>
      <c r="W3" s="233">
        <f t="shared" si="1"/>
        <v>44245</v>
      </c>
      <c r="X3" s="233">
        <f t="shared" si="1"/>
        <v>44246</v>
      </c>
      <c r="Y3" s="233">
        <f t="shared" si="1"/>
        <v>44247</v>
      </c>
      <c r="Z3" s="233">
        <f t="shared" si="1"/>
        <v>44248</v>
      </c>
      <c r="AA3" s="233">
        <f t="shared" si="1"/>
        <v>44249</v>
      </c>
      <c r="AB3" s="233">
        <f t="shared" si="1"/>
        <v>44250</v>
      </c>
      <c r="AC3" s="233">
        <f t="shared" si="1"/>
        <v>44251</v>
      </c>
      <c r="AD3" s="233">
        <f t="shared" si="1"/>
        <v>44252</v>
      </c>
      <c r="AE3" s="233">
        <f t="shared" si="1"/>
        <v>44253</v>
      </c>
      <c r="AF3" s="233">
        <f t="shared" si="1"/>
        <v>44254</v>
      </c>
      <c r="AG3" s="233">
        <f t="shared" si="1"/>
        <v>44255</v>
      </c>
      <c r="AH3" s="233">
        <f t="shared" si="1"/>
        <v>44256</v>
      </c>
      <c r="AI3" s="233">
        <f t="shared" si="1"/>
        <v>44257</v>
      </c>
      <c r="AJ3" s="233">
        <f t="shared" si="1"/>
        <v>44258</v>
      </c>
      <c r="AK3" s="79" t="s">
        <v>37</v>
      </c>
      <c r="AL3" s="234" t="s">
        <v>248</v>
      </c>
      <c r="AM3" s="58"/>
    </row>
    <row r="4" ht="15.75" customHeight="1">
      <c r="A4" s="64"/>
      <c r="B4" s="88" t="s">
        <v>17</v>
      </c>
      <c r="C4" s="89">
        <v>1.0</v>
      </c>
      <c r="D4" s="92" t="s">
        <v>18</v>
      </c>
      <c r="E4" s="94" t="s">
        <v>19</v>
      </c>
      <c r="F4" s="95"/>
      <c r="G4" s="95"/>
      <c r="H4" s="95"/>
      <c r="I4" s="95"/>
      <c r="J4" s="95"/>
      <c r="K4" s="95"/>
      <c r="L4" s="95"/>
      <c r="M4" s="95"/>
      <c r="N4" s="95"/>
      <c r="O4" s="95"/>
      <c r="P4" s="95"/>
      <c r="Q4" s="95"/>
      <c r="R4" s="95"/>
      <c r="S4" s="95"/>
      <c r="T4" s="95"/>
      <c r="U4" s="95"/>
      <c r="V4" s="95"/>
      <c r="W4" s="95"/>
      <c r="X4" s="95"/>
      <c r="Y4" s="95"/>
      <c r="Z4" s="95"/>
      <c r="AA4" s="95"/>
      <c r="AB4" s="95"/>
      <c r="AC4" s="95"/>
      <c r="AD4" s="95"/>
      <c r="AE4" s="95"/>
      <c r="AF4" s="95"/>
      <c r="AG4" s="95"/>
      <c r="AH4" s="95"/>
      <c r="AI4" s="95"/>
      <c r="AJ4" s="95"/>
      <c r="AK4" s="98">
        <f t="shared" ref="AK4:AK29" si="2">SUM(F4:AJ4)</f>
        <v>0</v>
      </c>
      <c r="AL4" s="100" t="str">
        <f>IFERROR(AK5/AK4,"")</f>
        <v/>
      </c>
      <c r="AM4" s="101"/>
    </row>
    <row r="5" ht="15.75" customHeight="1">
      <c r="A5" s="64"/>
      <c r="B5" s="82"/>
      <c r="C5" s="78"/>
      <c r="D5" s="78"/>
      <c r="E5" s="94" t="s">
        <v>26</v>
      </c>
      <c r="F5" s="235"/>
      <c r="G5" s="235"/>
      <c r="H5" s="235"/>
      <c r="I5" s="235"/>
      <c r="J5" s="235"/>
      <c r="K5" s="235"/>
      <c r="L5" s="235"/>
      <c r="M5" s="235"/>
      <c r="N5" s="235"/>
      <c r="O5" s="235"/>
      <c r="P5" s="235"/>
      <c r="Q5" s="235"/>
      <c r="R5" s="235"/>
      <c r="S5" s="235"/>
      <c r="T5" s="235"/>
      <c r="U5" s="235"/>
      <c r="V5" s="235"/>
      <c r="W5" s="235"/>
      <c r="X5" s="235"/>
      <c r="Y5" s="235"/>
      <c r="Z5" s="235"/>
      <c r="AA5" s="235"/>
      <c r="AB5" s="235"/>
      <c r="AC5" s="235"/>
      <c r="AD5" s="235"/>
      <c r="AE5" s="235"/>
      <c r="AF5" s="235"/>
      <c r="AG5" s="103"/>
      <c r="AH5" s="235"/>
      <c r="AI5" s="235"/>
      <c r="AJ5" s="103"/>
      <c r="AK5" s="98">
        <f t="shared" si="2"/>
        <v>0</v>
      </c>
      <c r="AL5" s="78"/>
      <c r="AM5" s="101"/>
    </row>
    <row r="6" ht="15.75" customHeight="1">
      <c r="A6" s="64"/>
      <c r="B6" s="82"/>
      <c r="C6" s="89">
        <v>2.0</v>
      </c>
      <c r="D6" s="236" t="s">
        <v>40</v>
      </c>
      <c r="E6" s="94" t="s">
        <v>19</v>
      </c>
      <c r="F6" s="95"/>
      <c r="G6" s="95"/>
      <c r="H6" s="95"/>
      <c r="I6" s="95"/>
      <c r="J6" s="95"/>
      <c r="K6" s="95"/>
      <c r="L6" s="95"/>
      <c r="M6" s="95"/>
      <c r="N6" s="95"/>
      <c r="O6" s="95"/>
      <c r="P6" s="95"/>
      <c r="Q6" s="95"/>
      <c r="R6" s="95"/>
      <c r="S6" s="95"/>
      <c r="T6" s="95"/>
      <c r="U6" s="95"/>
      <c r="V6" s="95"/>
      <c r="W6" s="95"/>
      <c r="X6" s="95"/>
      <c r="Y6" s="95"/>
      <c r="Z6" s="95"/>
      <c r="AA6" s="95"/>
      <c r="AB6" s="95"/>
      <c r="AC6" s="95"/>
      <c r="AD6" s="95"/>
      <c r="AE6" s="95"/>
      <c r="AF6" s="95"/>
      <c r="AG6" s="95"/>
      <c r="AH6" s="95"/>
      <c r="AI6" s="95"/>
      <c r="AJ6" s="95"/>
      <c r="AK6" s="98">
        <f t="shared" si="2"/>
        <v>0</v>
      </c>
      <c r="AL6" s="100" t="str">
        <f>IFERROR(AK7/AK6,"")</f>
        <v/>
      </c>
      <c r="AM6" s="101"/>
    </row>
    <row r="7" ht="15.75" customHeight="1">
      <c r="A7" s="64"/>
      <c r="B7" s="82"/>
      <c r="C7" s="78"/>
      <c r="E7" s="94" t="s">
        <v>26</v>
      </c>
      <c r="F7" s="235"/>
      <c r="G7" s="235"/>
      <c r="H7" s="235"/>
      <c r="I7" s="235"/>
      <c r="J7" s="235"/>
      <c r="K7" s="235"/>
      <c r="L7" s="235"/>
      <c r="M7" s="235"/>
      <c r="N7" s="235"/>
      <c r="O7" s="235"/>
      <c r="P7" s="235"/>
      <c r="Q7" s="235"/>
      <c r="R7" s="235"/>
      <c r="S7" s="235"/>
      <c r="T7" s="235"/>
      <c r="U7" s="235"/>
      <c r="V7" s="235"/>
      <c r="W7" s="235"/>
      <c r="X7" s="235"/>
      <c r="Y7" s="235"/>
      <c r="Z7" s="235"/>
      <c r="AA7" s="235"/>
      <c r="AB7" s="235"/>
      <c r="AC7" s="235"/>
      <c r="AD7" s="235"/>
      <c r="AE7" s="235"/>
      <c r="AF7" s="235"/>
      <c r="AG7" s="103"/>
      <c r="AH7" s="235"/>
      <c r="AI7" s="235"/>
      <c r="AJ7" s="103"/>
      <c r="AK7" s="98">
        <f t="shared" si="2"/>
        <v>0</v>
      </c>
      <c r="AL7" s="78"/>
      <c r="AM7" s="101"/>
    </row>
    <row r="8" ht="15.75" customHeight="1">
      <c r="A8" s="64"/>
      <c r="B8" s="82"/>
      <c r="C8" s="89">
        <v>3.0</v>
      </c>
      <c r="D8" s="92" t="s">
        <v>42</v>
      </c>
      <c r="E8" s="94" t="s">
        <v>19</v>
      </c>
      <c r="F8" s="95"/>
      <c r="G8" s="95"/>
      <c r="H8" s="95"/>
      <c r="I8" s="95"/>
      <c r="J8" s="95"/>
      <c r="K8" s="95"/>
      <c r="L8" s="95"/>
      <c r="M8" s="95"/>
      <c r="N8" s="95"/>
      <c r="O8" s="95"/>
      <c r="P8" s="95"/>
      <c r="Q8" s="95"/>
      <c r="R8" s="95"/>
      <c r="S8" s="95"/>
      <c r="T8" s="95"/>
      <c r="U8" s="95"/>
      <c r="V8" s="95"/>
      <c r="W8" s="95"/>
      <c r="X8" s="95"/>
      <c r="Y8" s="95"/>
      <c r="Z8" s="95"/>
      <c r="AA8" s="95"/>
      <c r="AB8" s="95"/>
      <c r="AC8" s="95"/>
      <c r="AD8" s="95"/>
      <c r="AE8" s="95"/>
      <c r="AF8" s="95"/>
      <c r="AG8" s="95"/>
      <c r="AH8" s="95"/>
      <c r="AI8" s="95"/>
      <c r="AJ8" s="95"/>
      <c r="AK8" s="98">
        <f t="shared" si="2"/>
        <v>0</v>
      </c>
      <c r="AL8" s="100" t="str">
        <f>IFERROR(AK9/AK8,"")</f>
        <v/>
      </c>
      <c r="AM8" s="101"/>
    </row>
    <row r="9" ht="15.75" customHeight="1">
      <c r="A9" s="64"/>
      <c r="B9" s="78"/>
      <c r="C9" s="78"/>
      <c r="D9" s="78"/>
      <c r="E9" s="94" t="s">
        <v>26</v>
      </c>
      <c r="F9" s="235"/>
      <c r="G9" s="235"/>
      <c r="H9" s="235"/>
      <c r="I9" s="235"/>
      <c r="J9" s="235"/>
      <c r="K9" s="235"/>
      <c r="L9" s="235"/>
      <c r="M9" s="235"/>
      <c r="N9" s="235"/>
      <c r="O9" s="235"/>
      <c r="P9" s="235"/>
      <c r="Q9" s="235"/>
      <c r="R9" s="235"/>
      <c r="S9" s="235"/>
      <c r="T9" s="235"/>
      <c r="U9" s="235"/>
      <c r="V9" s="235"/>
      <c r="W9" s="235"/>
      <c r="X9" s="235"/>
      <c r="Y9" s="235"/>
      <c r="Z9" s="235"/>
      <c r="AA9" s="235"/>
      <c r="AB9" s="235"/>
      <c r="AC9" s="235"/>
      <c r="AD9" s="235"/>
      <c r="AE9" s="235"/>
      <c r="AF9" s="235"/>
      <c r="AG9" s="103"/>
      <c r="AH9" s="235"/>
      <c r="AI9" s="235"/>
      <c r="AJ9" s="103"/>
      <c r="AK9" s="98">
        <f t="shared" si="2"/>
        <v>0</v>
      </c>
      <c r="AL9" s="78"/>
      <c r="AM9" s="101"/>
    </row>
    <row r="10" ht="15.75" customHeight="1">
      <c r="A10" s="64"/>
      <c r="B10" s="88" t="s">
        <v>44</v>
      </c>
      <c r="C10" s="89">
        <v>1.0</v>
      </c>
      <c r="D10" s="92" t="s">
        <v>46</v>
      </c>
      <c r="E10" s="94" t="s">
        <v>19</v>
      </c>
      <c r="F10" s="95"/>
      <c r="G10" s="95"/>
      <c r="H10" s="95"/>
      <c r="I10" s="95"/>
      <c r="J10" s="95"/>
      <c r="K10" s="95"/>
      <c r="L10" s="95"/>
      <c r="M10" s="95"/>
      <c r="N10" s="95"/>
      <c r="O10" s="95"/>
      <c r="P10" s="95"/>
      <c r="Q10" s="95"/>
      <c r="R10" s="95"/>
      <c r="S10" s="95"/>
      <c r="T10" s="95"/>
      <c r="U10" s="95"/>
      <c r="V10" s="95"/>
      <c r="W10" s="95"/>
      <c r="X10" s="95"/>
      <c r="Y10" s="95"/>
      <c r="Z10" s="95"/>
      <c r="AA10" s="95"/>
      <c r="AB10" s="95"/>
      <c r="AC10" s="95"/>
      <c r="AD10" s="95"/>
      <c r="AE10" s="95"/>
      <c r="AF10" s="95"/>
      <c r="AG10" s="95"/>
      <c r="AH10" s="95"/>
      <c r="AI10" s="95"/>
      <c r="AJ10" s="95"/>
      <c r="AK10" s="98">
        <f t="shared" si="2"/>
        <v>0</v>
      </c>
      <c r="AL10" s="100" t="str">
        <f>IFERROR(AK11/AK10,"")</f>
        <v/>
      </c>
      <c r="AM10" s="101"/>
    </row>
    <row r="11" ht="15.75" customHeight="1">
      <c r="A11" s="64"/>
      <c r="B11" s="82"/>
      <c r="C11" s="78"/>
      <c r="D11" s="78"/>
      <c r="E11" s="94" t="s">
        <v>26</v>
      </c>
      <c r="F11" s="235"/>
      <c r="G11" s="235"/>
      <c r="H11" s="235"/>
      <c r="I11" s="235"/>
      <c r="J11" s="235"/>
      <c r="K11" s="235"/>
      <c r="L11" s="235"/>
      <c r="M11" s="235"/>
      <c r="N11" s="235"/>
      <c r="O11" s="235"/>
      <c r="P11" s="235"/>
      <c r="Q11" s="235"/>
      <c r="R11" s="235"/>
      <c r="S11" s="235"/>
      <c r="T11" s="235"/>
      <c r="U11" s="235"/>
      <c r="V11" s="235"/>
      <c r="W11" s="235"/>
      <c r="X11" s="235"/>
      <c r="Y11" s="235"/>
      <c r="Z11" s="235"/>
      <c r="AA11" s="235"/>
      <c r="AB11" s="235"/>
      <c r="AC11" s="235"/>
      <c r="AD11" s="235"/>
      <c r="AE11" s="235"/>
      <c r="AF11" s="235"/>
      <c r="AG11" s="103"/>
      <c r="AH11" s="235"/>
      <c r="AI11" s="235"/>
      <c r="AJ11" s="103"/>
      <c r="AK11" s="98">
        <f t="shared" si="2"/>
        <v>0</v>
      </c>
      <c r="AL11" s="78"/>
      <c r="AM11" s="101"/>
    </row>
    <row r="12" ht="15.75" customHeight="1">
      <c r="A12" s="64"/>
      <c r="B12" s="82"/>
      <c r="C12" s="89">
        <v>2.0</v>
      </c>
      <c r="D12" s="92" t="s">
        <v>52</v>
      </c>
      <c r="E12" s="94" t="s">
        <v>19</v>
      </c>
      <c r="F12" s="95"/>
      <c r="G12" s="95"/>
      <c r="H12" s="95"/>
      <c r="I12" s="95"/>
      <c r="J12" s="95"/>
      <c r="K12" s="95"/>
      <c r="L12" s="95"/>
      <c r="M12" s="95"/>
      <c r="N12" s="95"/>
      <c r="O12" s="95"/>
      <c r="P12" s="95"/>
      <c r="Q12" s="95"/>
      <c r="R12" s="95"/>
      <c r="S12" s="95"/>
      <c r="T12" s="95"/>
      <c r="U12" s="95"/>
      <c r="V12" s="95"/>
      <c r="W12" s="95"/>
      <c r="X12" s="95"/>
      <c r="Y12" s="95"/>
      <c r="Z12" s="95"/>
      <c r="AA12" s="95"/>
      <c r="AB12" s="95"/>
      <c r="AC12" s="95"/>
      <c r="AD12" s="95"/>
      <c r="AE12" s="95"/>
      <c r="AF12" s="95"/>
      <c r="AG12" s="95"/>
      <c r="AH12" s="95"/>
      <c r="AI12" s="95"/>
      <c r="AJ12" s="95"/>
      <c r="AK12" s="98">
        <f t="shared" si="2"/>
        <v>0</v>
      </c>
      <c r="AL12" s="100" t="str">
        <f>IFERROR(AK13/AK12,"")</f>
        <v/>
      </c>
      <c r="AM12" s="101"/>
    </row>
    <row r="13" ht="15.75" customHeight="1">
      <c r="A13" s="64"/>
      <c r="B13" s="82"/>
      <c r="C13" s="78"/>
      <c r="D13" s="78"/>
      <c r="E13" s="94" t="s">
        <v>26</v>
      </c>
      <c r="F13" s="235"/>
      <c r="G13" s="235"/>
      <c r="H13" s="235"/>
      <c r="I13" s="235"/>
      <c r="J13" s="235"/>
      <c r="K13" s="235"/>
      <c r="L13" s="235"/>
      <c r="M13" s="235"/>
      <c r="N13" s="235"/>
      <c r="O13" s="235"/>
      <c r="P13" s="235"/>
      <c r="Q13" s="235"/>
      <c r="R13" s="235"/>
      <c r="S13" s="235"/>
      <c r="T13" s="235"/>
      <c r="U13" s="235"/>
      <c r="V13" s="235"/>
      <c r="W13" s="235"/>
      <c r="X13" s="235"/>
      <c r="Y13" s="235"/>
      <c r="Z13" s="235"/>
      <c r="AA13" s="235"/>
      <c r="AB13" s="235"/>
      <c r="AC13" s="235"/>
      <c r="AD13" s="235"/>
      <c r="AE13" s="235"/>
      <c r="AF13" s="235"/>
      <c r="AG13" s="103"/>
      <c r="AH13" s="235"/>
      <c r="AI13" s="235"/>
      <c r="AJ13" s="103"/>
      <c r="AK13" s="98">
        <f t="shared" si="2"/>
        <v>0</v>
      </c>
      <c r="AL13" s="78"/>
      <c r="AM13" s="101"/>
    </row>
    <row r="14" ht="15.75" customHeight="1">
      <c r="A14" s="64"/>
      <c r="B14" s="82"/>
      <c r="C14" s="89">
        <v>3.0</v>
      </c>
      <c r="D14" s="92" t="s">
        <v>53</v>
      </c>
      <c r="E14" s="94" t="s">
        <v>19</v>
      </c>
      <c r="F14" s="95"/>
      <c r="G14" s="95"/>
      <c r="H14" s="95"/>
      <c r="I14" s="95"/>
      <c r="J14" s="95"/>
      <c r="K14" s="95"/>
      <c r="L14" s="95"/>
      <c r="M14" s="95"/>
      <c r="N14" s="95"/>
      <c r="O14" s="95"/>
      <c r="P14" s="95"/>
      <c r="Q14" s="95"/>
      <c r="R14" s="95"/>
      <c r="S14" s="95"/>
      <c r="T14" s="95"/>
      <c r="U14" s="95"/>
      <c r="V14" s="95"/>
      <c r="W14" s="95"/>
      <c r="X14" s="95"/>
      <c r="Y14" s="95"/>
      <c r="Z14" s="95"/>
      <c r="AA14" s="95"/>
      <c r="AB14" s="95"/>
      <c r="AC14" s="95"/>
      <c r="AD14" s="95"/>
      <c r="AE14" s="95"/>
      <c r="AF14" s="95"/>
      <c r="AG14" s="95"/>
      <c r="AH14" s="95"/>
      <c r="AI14" s="95"/>
      <c r="AJ14" s="95"/>
      <c r="AK14" s="98">
        <f t="shared" si="2"/>
        <v>0</v>
      </c>
      <c r="AL14" s="100" t="str">
        <f>IFERROR(AK15/AK14,"")</f>
        <v/>
      </c>
      <c r="AM14" s="101"/>
    </row>
    <row r="15" ht="15.75" customHeight="1">
      <c r="A15" s="64"/>
      <c r="B15" s="78"/>
      <c r="C15" s="78"/>
      <c r="D15" s="78"/>
      <c r="E15" s="94" t="s">
        <v>26</v>
      </c>
      <c r="F15" s="235"/>
      <c r="G15" s="235"/>
      <c r="H15" s="235"/>
      <c r="I15" s="235"/>
      <c r="J15" s="235"/>
      <c r="K15" s="235"/>
      <c r="L15" s="235"/>
      <c r="M15" s="235"/>
      <c r="N15" s="235"/>
      <c r="O15" s="235"/>
      <c r="P15" s="235"/>
      <c r="Q15" s="235"/>
      <c r="R15" s="235"/>
      <c r="S15" s="235"/>
      <c r="T15" s="235"/>
      <c r="U15" s="235"/>
      <c r="V15" s="235"/>
      <c r="W15" s="235"/>
      <c r="X15" s="235"/>
      <c r="Y15" s="235"/>
      <c r="Z15" s="235"/>
      <c r="AA15" s="235"/>
      <c r="AB15" s="235"/>
      <c r="AC15" s="235"/>
      <c r="AD15" s="235"/>
      <c r="AE15" s="235"/>
      <c r="AF15" s="235"/>
      <c r="AG15" s="103"/>
      <c r="AH15" s="235"/>
      <c r="AI15" s="235"/>
      <c r="AJ15" s="103"/>
      <c r="AK15" s="98">
        <f t="shared" si="2"/>
        <v>0</v>
      </c>
      <c r="AL15" s="78"/>
      <c r="AM15" s="101"/>
    </row>
    <row r="16" ht="15.75" customHeight="1">
      <c r="A16" s="64"/>
      <c r="B16" s="88" t="s">
        <v>54</v>
      </c>
      <c r="C16" s="89">
        <v>1.0</v>
      </c>
      <c r="D16" s="92" t="s">
        <v>55</v>
      </c>
      <c r="E16" s="94" t="s">
        <v>19</v>
      </c>
      <c r="F16" s="95"/>
      <c r="G16" s="95"/>
      <c r="H16" s="95"/>
      <c r="I16" s="95"/>
      <c r="J16" s="95"/>
      <c r="K16" s="95"/>
      <c r="L16" s="95"/>
      <c r="M16" s="95"/>
      <c r="N16" s="95"/>
      <c r="O16" s="95"/>
      <c r="P16" s="95"/>
      <c r="Q16" s="95"/>
      <c r="R16" s="95"/>
      <c r="S16" s="95"/>
      <c r="T16" s="95"/>
      <c r="U16" s="95"/>
      <c r="V16" s="95"/>
      <c r="W16" s="95"/>
      <c r="X16" s="95"/>
      <c r="Y16" s="95"/>
      <c r="Z16" s="95"/>
      <c r="AA16" s="95"/>
      <c r="AB16" s="95"/>
      <c r="AC16" s="95"/>
      <c r="AD16" s="95"/>
      <c r="AE16" s="95"/>
      <c r="AF16" s="95"/>
      <c r="AG16" s="95"/>
      <c r="AH16" s="95"/>
      <c r="AI16" s="95"/>
      <c r="AJ16" s="95"/>
      <c r="AK16" s="98">
        <f t="shared" si="2"/>
        <v>0</v>
      </c>
      <c r="AL16" s="100" t="str">
        <f>IFERROR(AK17/AK16,"")</f>
        <v/>
      </c>
      <c r="AM16" s="101"/>
    </row>
    <row r="17" ht="15.75" customHeight="1">
      <c r="A17" s="64"/>
      <c r="B17" s="82"/>
      <c r="C17" s="78"/>
      <c r="D17" s="78"/>
      <c r="E17" s="94" t="s">
        <v>26</v>
      </c>
      <c r="F17" s="235"/>
      <c r="G17" s="235"/>
      <c r="H17" s="235"/>
      <c r="I17" s="235"/>
      <c r="J17" s="235"/>
      <c r="K17" s="235"/>
      <c r="L17" s="235"/>
      <c r="M17" s="235"/>
      <c r="N17" s="235"/>
      <c r="O17" s="235"/>
      <c r="P17" s="235"/>
      <c r="Q17" s="235"/>
      <c r="R17" s="235"/>
      <c r="S17" s="235"/>
      <c r="T17" s="235"/>
      <c r="U17" s="235"/>
      <c r="V17" s="235"/>
      <c r="W17" s="235"/>
      <c r="X17" s="235"/>
      <c r="Y17" s="235"/>
      <c r="Z17" s="235"/>
      <c r="AA17" s="235"/>
      <c r="AB17" s="235"/>
      <c r="AC17" s="235"/>
      <c r="AD17" s="235"/>
      <c r="AE17" s="235"/>
      <c r="AF17" s="235"/>
      <c r="AG17" s="103"/>
      <c r="AH17" s="235"/>
      <c r="AI17" s="235"/>
      <c r="AJ17" s="103"/>
      <c r="AK17" s="98">
        <f t="shared" si="2"/>
        <v>0</v>
      </c>
      <c r="AL17" s="78"/>
      <c r="AM17" s="101"/>
    </row>
    <row r="18" ht="15.75" customHeight="1">
      <c r="A18" s="64"/>
      <c r="B18" s="82"/>
      <c r="C18" s="89">
        <v>2.0</v>
      </c>
      <c r="D18" s="236" t="s">
        <v>250</v>
      </c>
      <c r="E18" s="94" t="s">
        <v>19</v>
      </c>
      <c r="F18" s="95"/>
      <c r="G18" s="95"/>
      <c r="H18" s="95"/>
      <c r="I18" s="95"/>
      <c r="J18" s="95"/>
      <c r="K18" s="95"/>
      <c r="L18" s="95"/>
      <c r="M18" s="95"/>
      <c r="N18" s="95"/>
      <c r="O18" s="95"/>
      <c r="P18" s="95"/>
      <c r="Q18" s="95"/>
      <c r="R18" s="95"/>
      <c r="S18" s="95"/>
      <c r="T18" s="95"/>
      <c r="U18" s="95"/>
      <c r="V18" s="95"/>
      <c r="W18" s="95"/>
      <c r="X18" s="95"/>
      <c r="Y18" s="95"/>
      <c r="Z18" s="95"/>
      <c r="AA18" s="95"/>
      <c r="AB18" s="95"/>
      <c r="AC18" s="95"/>
      <c r="AD18" s="95"/>
      <c r="AE18" s="95"/>
      <c r="AF18" s="95"/>
      <c r="AG18" s="95"/>
      <c r="AH18" s="95"/>
      <c r="AI18" s="95"/>
      <c r="AJ18" s="95"/>
      <c r="AK18" s="98">
        <f t="shared" si="2"/>
        <v>0</v>
      </c>
      <c r="AL18" s="100" t="str">
        <f>IFERROR(AK19/AK18,"")</f>
        <v/>
      </c>
      <c r="AM18" s="101"/>
    </row>
    <row r="19" ht="15.75" customHeight="1">
      <c r="A19" s="64"/>
      <c r="B19" s="82"/>
      <c r="C19" s="78"/>
      <c r="E19" s="94" t="s">
        <v>26</v>
      </c>
      <c r="F19" s="235"/>
      <c r="G19" s="235"/>
      <c r="H19" s="235"/>
      <c r="I19" s="235"/>
      <c r="J19" s="235"/>
      <c r="K19" s="235"/>
      <c r="L19" s="235"/>
      <c r="M19" s="235"/>
      <c r="N19" s="235"/>
      <c r="O19" s="235"/>
      <c r="P19" s="235"/>
      <c r="Q19" s="235"/>
      <c r="R19" s="235"/>
      <c r="S19" s="235"/>
      <c r="T19" s="235"/>
      <c r="U19" s="235"/>
      <c r="V19" s="235"/>
      <c r="W19" s="235"/>
      <c r="X19" s="235"/>
      <c r="Y19" s="235"/>
      <c r="Z19" s="235"/>
      <c r="AA19" s="235"/>
      <c r="AB19" s="235"/>
      <c r="AC19" s="235"/>
      <c r="AD19" s="235"/>
      <c r="AE19" s="235"/>
      <c r="AF19" s="235"/>
      <c r="AG19" s="103"/>
      <c r="AH19" s="235"/>
      <c r="AI19" s="235"/>
      <c r="AJ19" s="103"/>
      <c r="AK19" s="98">
        <f t="shared" si="2"/>
        <v>0</v>
      </c>
      <c r="AL19" s="78"/>
      <c r="AM19" s="101"/>
    </row>
    <row r="20" ht="15.75" customHeight="1">
      <c r="A20" s="64"/>
      <c r="B20" s="82"/>
      <c r="C20" s="89">
        <v>3.0</v>
      </c>
      <c r="D20" s="146" t="s">
        <v>251</v>
      </c>
      <c r="E20" s="94" t="s">
        <v>19</v>
      </c>
      <c r="F20" s="95"/>
      <c r="G20" s="95"/>
      <c r="H20" s="95"/>
      <c r="I20" s="95"/>
      <c r="J20" s="95"/>
      <c r="K20" s="95"/>
      <c r="L20" s="95"/>
      <c r="M20" s="95"/>
      <c r="N20" s="95"/>
      <c r="O20" s="95"/>
      <c r="P20" s="95"/>
      <c r="Q20" s="95"/>
      <c r="R20" s="95"/>
      <c r="S20" s="95"/>
      <c r="T20" s="95"/>
      <c r="U20" s="95"/>
      <c r="V20" s="95"/>
      <c r="W20" s="95"/>
      <c r="X20" s="95"/>
      <c r="Y20" s="95"/>
      <c r="Z20" s="95"/>
      <c r="AA20" s="95"/>
      <c r="AB20" s="95"/>
      <c r="AC20" s="95"/>
      <c r="AD20" s="95"/>
      <c r="AE20" s="95"/>
      <c r="AF20" s="95"/>
      <c r="AG20" s="95"/>
      <c r="AH20" s="95"/>
      <c r="AI20" s="95"/>
      <c r="AJ20" s="95"/>
      <c r="AK20" s="98">
        <f t="shared" si="2"/>
        <v>0</v>
      </c>
      <c r="AL20" s="100" t="str">
        <f>IFERROR(AK21/AK20,"")</f>
        <v/>
      </c>
      <c r="AM20" s="101"/>
    </row>
    <row r="21" ht="15.75" customHeight="1">
      <c r="A21" s="64"/>
      <c r="B21" s="82"/>
      <c r="C21" s="78"/>
      <c r="D21" s="78"/>
      <c r="E21" s="94" t="s">
        <v>26</v>
      </c>
      <c r="F21" s="235"/>
      <c r="G21" s="235"/>
      <c r="H21" s="235"/>
      <c r="I21" s="235"/>
      <c r="J21" s="235"/>
      <c r="K21" s="235"/>
      <c r="L21" s="235"/>
      <c r="M21" s="235"/>
      <c r="N21" s="235"/>
      <c r="O21" s="235"/>
      <c r="P21" s="235"/>
      <c r="Q21" s="235"/>
      <c r="R21" s="235"/>
      <c r="S21" s="235"/>
      <c r="T21" s="235"/>
      <c r="U21" s="235"/>
      <c r="V21" s="235"/>
      <c r="W21" s="235"/>
      <c r="X21" s="235"/>
      <c r="Y21" s="235"/>
      <c r="Z21" s="235"/>
      <c r="AA21" s="235"/>
      <c r="AB21" s="235"/>
      <c r="AC21" s="235"/>
      <c r="AD21" s="235"/>
      <c r="AE21" s="235"/>
      <c r="AF21" s="235"/>
      <c r="AG21" s="103"/>
      <c r="AH21" s="235"/>
      <c r="AI21" s="235"/>
      <c r="AJ21" s="103"/>
      <c r="AK21" s="98">
        <f t="shared" si="2"/>
        <v>0</v>
      </c>
      <c r="AL21" s="78"/>
      <c r="AM21" s="101"/>
    </row>
    <row r="22" ht="15.75" customHeight="1">
      <c r="A22" s="64"/>
      <c r="B22" s="82"/>
      <c r="C22" s="89">
        <v>4.0</v>
      </c>
      <c r="D22" s="92" t="s">
        <v>74</v>
      </c>
      <c r="E22" s="94" t="s">
        <v>19</v>
      </c>
      <c r="F22" s="95"/>
      <c r="G22" s="196"/>
      <c r="H22" s="196"/>
      <c r="I22" s="196"/>
      <c r="J22" s="196"/>
      <c r="K22" s="196"/>
      <c r="L22" s="196"/>
      <c r="M22" s="196"/>
      <c r="N22" s="196"/>
      <c r="O22" s="196"/>
      <c r="P22" s="196"/>
      <c r="Q22" s="196"/>
      <c r="R22" s="196"/>
      <c r="S22" s="196"/>
      <c r="T22" s="196"/>
      <c r="U22" s="196"/>
      <c r="V22" s="196"/>
      <c r="W22" s="196"/>
      <c r="X22" s="196"/>
      <c r="Y22" s="196"/>
      <c r="Z22" s="196"/>
      <c r="AA22" s="196"/>
      <c r="AB22" s="196"/>
      <c r="AC22" s="196"/>
      <c r="AD22" s="196"/>
      <c r="AE22" s="196"/>
      <c r="AF22" s="196"/>
      <c r="AG22" s="196"/>
      <c r="AH22" s="196"/>
      <c r="AI22" s="196"/>
      <c r="AJ22" s="196"/>
      <c r="AK22" s="98">
        <f t="shared" si="2"/>
        <v>0</v>
      </c>
      <c r="AL22" s="100" t="str">
        <f>IFERROR(AK23/AK22,"")</f>
        <v/>
      </c>
      <c r="AM22" s="101"/>
    </row>
    <row r="23" ht="15.75" customHeight="1">
      <c r="A23" s="64"/>
      <c r="B23" s="78"/>
      <c r="C23" s="78"/>
      <c r="D23" s="78"/>
      <c r="E23" s="94" t="s">
        <v>26</v>
      </c>
      <c r="F23" s="235"/>
      <c r="G23" s="235"/>
      <c r="H23" s="235"/>
      <c r="I23" s="235"/>
      <c r="J23" s="235"/>
      <c r="K23" s="235"/>
      <c r="L23" s="235"/>
      <c r="M23" s="235"/>
      <c r="N23" s="235"/>
      <c r="O23" s="235"/>
      <c r="P23" s="235"/>
      <c r="Q23" s="235"/>
      <c r="R23" s="235"/>
      <c r="S23" s="235"/>
      <c r="T23" s="235"/>
      <c r="U23" s="235"/>
      <c r="V23" s="235"/>
      <c r="W23" s="235"/>
      <c r="X23" s="235"/>
      <c r="Y23" s="235"/>
      <c r="Z23" s="235"/>
      <c r="AA23" s="235"/>
      <c r="AB23" s="235"/>
      <c r="AC23" s="235"/>
      <c r="AD23" s="235"/>
      <c r="AE23" s="235"/>
      <c r="AF23" s="235"/>
      <c r="AG23" s="103"/>
      <c r="AH23" s="235"/>
      <c r="AI23" s="235"/>
      <c r="AJ23" s="103"/>
      <c r="AK23" s="98">
        <f t="shared" si="2"/>
        <v>0</v>
      </c>
      <c r="AL23" s="78"/>
      <c r="AM23" s="101"/>
    </row>
    <row r="24" ht="15.75" customHeight="1">
      <c r="A24" s="58"/>
      <c r="B24" s="165" t="s">
        <v>101</v>
      </c>
      <c r="C24" s="166">
        <v>1.0</v>
      </c>
      <c r="D24" s="92" t="s">
        <v>109</v>
      </c>
      <c r="E24" s="94" t="s">
        <v>19</v>
      </c>
      <c r="F24" s="95"/>
      <c r="G24" s="95"/>
      <c r="H24" s="95"/>
      <c r="I24" s="95"/>
      <c r="J24" s="95"/>
      <c r="K24" s="95"/>
      <c r="L24" s="95"/>
      <c r="M24" s="95"/>
      <c r="N24" s="95"/>
      <c r="O24" s="95"/>
      <c r="P24" s="95"/>
      <c r="Q24" s="95"/>
      <c r="R24" s="95"/>
      <c r="S24" s="95"/>
      <c r="T24" s="95"/>
      <c r="U24" s="95"/>
      <c r="V24" s="95"/>
      <c r="W24" s="95"/>
      <c r="X24" s="95"/>
      <c r="Y24" s="95"/>
      <c r="Z24" s="95"/>
      <c r="AA24" s="95"/>
      <c r="AB24" s="95"/>
      <c r="AC24" s="95"/>
      <c r="AD24" s="95"/>
      <c r="AE24" s="95"/>
      <c r="AF24" s="95"/>
      <c r="AG24" s="95"/>
      <c r="AH24" s="95"/>
      <c r="AI24" s="95"/>
      <c r="AJ24" s="95"/>
      <c r="AK24" s="98">
        <f t="shared" si="2"/>
        <v>0</v>
      </c>
      <c r="AL24" s="100" t="str">
        <f>IFERROR(AK25/AK24,"")</f>
        <v/>
      </c>
      <c r="AM24" s="101"/>
    </row>
    <row r="25" ht="15.75" customHeight="1">
      <c r="A25" s="58"/>
      <c r="B25" s="82"/>
      <c r="C25" s="78"/>
      <c r="D25" s="78"/>
      <c r="E25" s="94" t="s">
        <v>26</v>
      </c>
      <c r="F25" s="235"/>
      <c r="G25" s="235"/>
      <c r="H25" s="235"/>
      <c r="I25" s="235"/>
      <c r="J25" s="235"/>
      <c r="K25" s="235"/>
      <c r="L25" s="235"/>
      <c r="M25" s="235"/>
      <c r="N25" s="235"/>
      <c r="O25" s="235"/>
      <c r="P25" s="235"/>
      <c r="Q25" s="235"/>
      <c r="R25" s="235"/>
      <c r="S25" s="235"/>
      <c r="T25" s="235"/>
      <c r="U25" s="235"/>
      <c r="V25" s="235"/>
      <c r="W25" s="235"/>
      <c r="X25" s="235"/>
      <c r="Y25" s="235"/>
      <c r="Z25" s="235"/>
      <c r="AA25" s="235"/>
      <c r="AB25" s="235"/>
      <c r="AC25" s="235"/>
      <c r="AD25" s="235"/>
      <c r="AE25" s="235"/>
      <c r="AF25" s="235"/>
      <c r="AG25" s="103"/>
      <c r="AH25" s="235"/>
      <c r="AI25" s="235"/>
      <c r="AJ25" s="103"/>
      <c r="AK25" s="98">
        <f t="shared" si="2"/>
        <v>0</v>
      </c>
      <c r="AL25" s="78"/>
      <c r="AM25" s="101"/>
    </row>
    <row r="26" ht="15.75" customHeight="1">
      <c r="A26" s="58"/>
      <c r="B26" s="82"/>
      <c r="C26" s="166">
        <v>2.0</v>
      </c>
      <c r="D26" s="92" t="s">
        <v>145</v>
      </c>
      <c r="E26" s="94" t="s">
        <v>19</v>
      </c>
      <c r="F26" s="196"/>
      <c r="G26" s="196"/>
      <c r="H26" s="196"/>
      <c r="I26" s="196"/>
      <c r="J26" s="196"/>
      <c r="K26" s="196"/>
      <c r="L26" s="196"/>
      <c r="M26" s="196"/>
      <c r="N26" s="196"/>
      <c r="O26" s="196"/>
      <c r="P26" s="196"/>
      <c r="Q26" s="196"/>
      <c r="R26" s="196"/>
      <c r="S26" s="196"/>
      <c r="T26" s="196"/>
      <c r="U26" s="196"/>
      <c r="V26" s="196"/>
      <c r="W26" s="196"/>
      <c r="X26" s="196"/>
      <c r="Y26" s="196"/>
      <c r="Z26" s="196"/>
      <c r="AA26" s="196"/>
      <c r="AB26" s="196"/>
      <c r="AC26" s="196"/>
      <c r="AD26" s="196"/>
      <c r="AE26" s="196"/>
      <c r="AF26" s="196"/>
      <c r="AG26" s="95"/>
      <c r="AH26" s="196"/>
      <c r="AI26" s="196"/>
      <c r="AJ26" s="95"/>
      <c r="AK26" s="98">
        <f t="shared" si="2"/>
        <v>0</v>
      </c>
      <c r="AL26" s="100" t="str">
        <f>IFERROR(AK26/AK27,"")</f>
        <v/>
      </c>
      <c r="AM26" s="101"/>
    </row>
    <row r="27" ht="15.75" customHeight="1">
      <c r="A27" s="58"/>
      <c r="B27" s="82"/>
      <c r="C27" s="78"/>
      <c r="D27" s="78"/>
      <c r="E27" s="94" t="s">
        <v>26</v>
      </c>
      <c r="F27" s="235"/>
      <c r="G27" s="235"/>
      <c r="H27" s="235"/>
      <c r="I27" s="235"/>
      <c r="J27" s="235"/>
      <c r="K27" s="235"/>
      <c r="L27" s="235"/>
      <c r="M27" s="235"/>
      <c r="N27" s="235"/>
      <c r="O27" s="235"/>
      <c r="P27" s="235"/>
      <c r="Q27" s="235"/>
      <c r="R27" s="235"/>
      <c r="S27" s="235"/>
      <c r="T27" s="235"/>
      <c r="U27" s="235"/>
      <c r="V27" s="235"/>
      <c r="W27" s="235"/>
      <c r="X27" s="235"/>
      <c r="Y27" s="235"/>
      <c r="Z27" s="235"/>
      <c r="AA27" s="235"/>
      <c r="AB27" s="235"/>
      <c r="AC27" s="235"/>
      <c r="AD27" s="235"/>
      <c r="AE27" s="235"/>
      <c r="AF27" s="235"/>
      <c r="AG27" s="103"/>
      <c r="AH27" s="235"/>
      <c r="AI27" s="235"/>
      <c r="AJ27" s="103"/>
      <c r="AK27" s="98">
        <f t="shared" si="2"/>
        <v>0</v>
      </c>
      <c r="AL27" s="78"/>
      <c r="AM27" s="101"/>
    </row>
    <row r="28" ht="15.75" customHeight="1">
      <c r="A28" s="58"/>
      <c r="B28" s="82"/>
      <c r="C28" s="166">
        <v>3.0</v>
      </c>
      <c r="D28" s="175" t="s">
        <v>166</v>
      </c>
      <c r="E28" s="94" t="s">
        <v>19</v>
      </c>
      <c r="F28" s="196"/>
      <c r="G28" s="196"/>
      <c r="H28" s="196"/>
      <c r="I28" s="196"/>
      <c r="J28" s="196"/>
      <c r="K28" s="196"/>
      <c r="L28" s="196"/>
      <c r="M28" s="196"/>
      <c r="N28" s="196"/>
      <c r="O28" s="196"/>
      <c r="P28" s="196"/>
      <c r="Q28" s="196"/>
      <c r="R28" s="196"/>
      <c r="S28" s="196"/>
      <c r="T28" s="196"/>
      <c r="U28" s="196"/>
      <c r="V28" s="196"/>
      <c r="W28" s="196"/>
      <c r="X28" s="196"/>
      <c r="Y28" s="196"/>
      <c r="Z28" s="196"/>
      <c r="AA28" s="196"/>
      <c r="AB28" s="196"/>
      <c r="AC28" s="196"/>
      <c r="AD28" s="196"/>
      <c r="AE28" s="196"/>
      <c r="AF28" s="196"/>
      <c r="AG28" s="95"/>
      <c r="AH28" s="196"/>
      <c r="AI28" s="196"/>
      <c r="AJ28" s="95"/>
      <c r="AK28" s="98">
        <f t="shared" si="2"/>
        <v>0</v>
      </c>
      <c r="AL28" s="100" t="str">
        <f>IFERROR(AK29/AK28,"")</f>
        <v/>
      </c>
      <c r="AM28" s="101"/>
    </row>
    <row r="29" ht="15.75" customHeight="1">
      <c r="A29" s="58"/>
      <c r="B29" s="78"/>
      <c r="C29" s="78"/>
      <c r="D29" s="78"/>
      <c r="E29" s="94" t="s">
        <v>26</v>
      </c>
      <c r="F29" s="235"/>
      <c r="G29" s="235"/>
      <c r="H29" s="235"/>
      <c r="I29" s="235"/>
      <c r="J29" s="235"/>
      <c r="K29" s="235"/>
      <c r="L29" s="235"/>
      <c r="M29" s="235"/>
      <c r="N29" s="235"/>
      <c r="O29" s="235"/>
      <c r="P29" s="235"/>
      <c r="Q29" s="235"/>
      <c r="R29" s="235"/>
      <c r="S29" s="235"/>
      <c r="T29" s="235"/>
      <c r="U29" s="235"/>
      <c r="V29" s="235"/>
      <c r="W29" s="235"/>
      <c r="X29" s="235"/>
      <c r="Y29" s="235"/>
      <c r="Z29" s="235"/>
      <c r="AA29" s="235"/>
      <c r="AB29" s="235"/>
      <c r="AC29" s="235"/>
      <c r="AD29" s="235"/>
      <c r="AE29" s="235"/>
      <c r="AF29" s="235"/>
      <c r="AG29" s="103"/>
      <c r="AH29" s="103"/>
      <c r="AI29" s="103"/>
      <c r="AJ29" s="103"/>
      <c r="AK29" s="98">
        <f t="shared" si="2"/>
        <v>0</v>
      </c>
      <c r="AL29" s="78"/>
      <c r="AM29" s="101"/>
    </row>
    <row r="30" ht="15.75" customHeight="1">
      <c r="A30" s="58"/>
      <c r="B30" s="58"/>
      <c r="C30" s="58"/>
      <c r="D30" s="58"/>
      <c r="E30" s="177"/>
      <c r="F30" s="178"/>
      <c r="G30" s="178"/>
      <c r="H30" s="178"/>
      <c r="I30" s="178"/>
      <c r="J30" s="178"/>
      <c r="K30" s="178"/>
      <c r="L30" s="178"/>
      <c r="M30" s="178"/>
      <c r="N30" s="178"/>
      <c r="O30" s="178"/>
      <c r="P30" s="178"/>
      <c r="Q30" s="178"/>
      <c r="R30" s="178"/>
      <c r="S30" s="178"/>
      <c r="T30" s="178"/>
      <c r="U30" s="178"/>
      <c r="V30" s="178"/>
      <c r="W30" s="178"/>
      <c r="X30" s="178"/>
      <c r="Y30" s="178"/>
      <c r="Z30" s="178"/>
      <c r="AA30" s="178"/>
      <c r="AB30" s="178"/>
      <c r="AC30" s="178"/>
      <c r="AD30" s="178"/>
      <c r="AE30" s="178"/>
      <c r="AF30" s="178"/>
      <c r="AG30" s="178"/>
      <c r="AH30" s="178"/>
      <c r="AI30" s="178"/>
      <c r="AJ30" s="178"/>
      <c r="AK30" s="178"/>
      <c r="AL30" s="101"/>
      <c r="AM30" s="179">
        <v>0.01</v>
      </c>
    </row>
  </sheetData>
  <mergeCells count="50">
    <mergeCell ref="AL16:AL17"/>
    <mergeCell ref="AL18:AL19"/>
    <mergeCell ref="AL20:AL21"/>
    <mergeCell ref="AL22:AL23"/>
    <mergeCell ref="AL24:AL25"/>
    <mergeCell ref="AL26:AL27"/>
    <mergeCell ref="AL28:AL29"/>
    <mergeCell ref="AH2:AJ2"/>
    <mergeCell ref="AL4:AL5"/>
    <mergeCell ref="AL6:AL7"/>
    <mergeCell ref="AL8:AL9"/>
    <mergeCell ref="AL10:AL11"/>
    <mergeCell ref="AL12:AL13"/>
    <mergeCell ref="AL14:AL15"/>
    <mergeCell ref="D16:D17"/>
    <mergeCell ref="C18:C19"/>
    <mergeCell ref="D18:D19"/>
    <mergeCell ref="B24:B29"/>
    <mergeCell ref="C24:C25"/>
    <mergeCell ref="C26:C27"/>
    <mergeCell ref="C28:C29"/>
    <mergeCell ref="D24:D25"/>
    <mergeCell ref="D26:D27"/>
    <mergeCell ref="D28:D29"/>
    <mergeCell ref="C8:C9"/>
    <mergeCell ref="D8:D9"/>
    <mergeCell ref="B10:B15"/>
    <mergeCell ref="C10:C11"/>
    <mergeCell ref="D10:D11"/>
    <mergeCell ref="D12:D13"/>
    <mergeCell ref="B16:B23"/>
    <mergeCell ref="B3:C3"/>
    <mergeCell ref="C4:C5"/>
    <mergeCell ref="C6:C7"/>
    <mergeCell ref="D6:D7"/>
    <mergeCell ref="B2:D2"/>
    <mergeCell ref="F2:L2"/>
    <mergeCell ref="M2:S2"/>
    <mergeCell ref="T2:Z2"/>
    <mergeCell ref="AA2:AG2"/>
    <mergeCell ref="B4:B9"/>
    <mergeCell ref="D4:D5"/>
    <mergeCell ref="C14:C15"/>
    <mergeCell ref="D14:D15"/>
    <mergeCell ref="C12:C13"/>
    <mergeCell ref="C16:C17"/>
    <mergeCell ref="C20:C21"/>
    <mergeCell ref="D20:D21"/>
    <mergeCell ref="C22:C23"/>
    <mergeCell ref="D22:D23"/>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4"/>
  <sheetData>
    <row r="1">
      <c r="A1" s="256" t="s">
        <v>20</v>
      </c>
    </row>
    <row r="2">
      <c r="A2" s="256" t="s">
        <v>39</v>
      </c>
    </row>
    <row r="3">
      <c r="A3" s="256" t="s">
        <v>41</v>
      </c>
    </row>
    <row r="4">
      <c r="A4" s="256" t="s">
        <v>43</v>
      </c>
    </row>
    <row r="5">
      <c r="A5" s="256" t="s">
        <v>45</v>
      </c>
    </row>
    <row r="6">
      <c r="A6" s="256" t="s">
        <v>47</v>
      </c>
    </row>
    <row r="7">
      <c r="A7" s="256" t="s">
        <v>48</v>
      </c>
    </row>
    <row r="8">
      <c r="A8" s="256" t="s">
        <v>49</v>
      </c>
    </row>
    <row r="9">
      <c r="A9" s="256" t="s">
        <v>50</v>
      </c>
    </row>
    <row r="10">
      <c r="A10" s="256" t="s">
        <v>51</v>
      </c>
    </row>
    <row r="11">
      <c r="A11" s="256" t="s">
        <v>25</v>
      </c>
    </row>
    <row r="12">
      <c r="A12" s="256" t="s">
        <v>6</v>
      </c>
    </row>
    <row r="13">
      <c r="A13" s="256" t="s">
        <v>27</v>
      </c>
    </row>
    <row r="14">
      <c r="A14" s="256" t="s">
        <v>28</v>
      </c>
    </row>
    <row r="15">
      <c r="A15" s="256" t="s">
        <v>29</v>
      </c>
    </row>
    <row r="16">
      <c r="A16" s="256" t="s">
        <v>30</v>
      </c>
    </row>
    <row r="17">
      <c r="A17" s="256" t="s">
        <v>31</v>
      </c>
    </row>
    <row r="18">
      <c r="A18" s="256" t="s">
        <v>32</v>
      </c>
    </row>
    <row r="19">
      <c r="A19" s="256" t="s">
        <v>33</v>
      </c>
    </row>
    <row r="20">
      <c r="A20" s="256" t="s">
        <v>34</v>
      </c>
    </row>
    <row r="21">
      <c r="A21" s="256" t="s">
        <v>35</v>
      </c>
    </row>
    <row r="22">
      <c r="A22" s="256" t="s">
        <v>36</v>
      </c>
    </row>
    <row r="23">
      <c r="A23" s="256" t="s">
        <v>56</v>
      </c>
    </row>
    <row r="24">
      <c r="A24" s="256" t="s">
        <v>57</v>
      </c>
    </row>
    <row r="25">
      <c r="A25" s="256" t="s">
        <v>58</v>
      </c>
    </row>
    <row r="26">
      <c r="A26" s="256" t="s">
        <v>59</v>
      </c>
    </row>
    <row r="27">
      <c r="A27" s="256" t="s">
        <v>61</v>
      </c>
    </row>
    <row r="28">
      <c r="A28" s="256" t="s">
        <v>62</v>
      </c>
    </row>
    <row r="29">
      <c r="A29" s="256" t="s">
        <v>63</v>
      </c>
    </row>
    <row r="30">
      <c r="A30" s="256" t="s">
        <v>64</v>
      </c>
    </row>
    <row r="31">
      <c r="A31" s="256" t="s">
        <v>65</v>
      </c>
    </row>
    <row r="32">
      <c r="A32" s="256" t="s">
        <v>66</v>
      </c>
    </row>
    <row r="33">
      <c r="A33" s="256" t="s">
        <v>67</v>
      </c>
    </row>
    <row r="34">
      <c r="A34" s="256" t="s">
        <v>68</v>
      </c>
    </row>
    <row r="35">
      <c r="A35" s="256" t="s">
        <v>69</v>
      </c>
    </row>
    <row r="36">
      <c r="A36" s="256" t="s">
        <v>70</v>
      </c>
    </row>
    <row r="37">
      <c r="A37" s="256" t="s">
        <v>71</v>
      </c>
    </row>
    <row r="38">
      <c r="A38" s="256" t="s">
        <v>72</v>
      </c>
    </row>
    <row r="39">
      <c r="A39" s="256" t="s">
        <v>73</v>
      </c>
    </row>
    <row r="40">
      <c r="A40" s="256" t="s">
        <v>75</v>
      </c>
    </row>
    <row r="41">
      <c r="A41" s="256" t="s">
        <v>76</v>
      </c>
    </row>
    <row r="42">
      <c r="A42" s="256" t="s">
        <v>77</v>
      </c>
    </row>
    <row r="43">
      <c r="A43" s="256" t="s">
        <v>78</v>
      </c>
    </row>
    <row r="44">
      <c r="A44" s="256" t="s">
        <v>79</v>
      </c>
    </row>
    <row r="45">
      <c r="A45" s="256" t="s">
        <v>80</v>
      </c>
    </row>
    <row r="46">
      <c r="A46" s="256" t="s">
        <v>81</v>
      </c>
    </row>
    <row r="47">
      <c r="A47" s="256" t="s">
        <v>82</v>
      </c>
    </row>
    <row r="48">
      <c r="A48" s="256" t="s">
        <v>83</v>
      </c>
    </row>
    <row r="49">
      <c r="A49" s="256" t="s">
        <v>84</v>
      </c>
    </row>
    <row r="50">
      <c r="A50" s="256" t="s">
        <v>85</v>
      </c>
    </row>
    <row r="51">
      <c r="A51" s="256" t="s">
        <v>86</v>
      </c>
    </row>
    <row r="52">
      <c r="A52" s="256" t="s">
        <v>87</v>
      </c>
    </row>
    <row r="53">
      <c r="A53" s="256" t="s">
        <v>89</v>
      </c>
    </row>
    <row r="54">
      <c r="A54" s="256" t="s">
        <v>90</v>
      </c>
    </row>
    <row r="55">
      <c r="A55" s="256" t="s">
        <v>91</v>
      </c>
    </row>
    <row r="56">
      <c r="A56" s="256" t="s">
        <v>92</v>
      </c>
    </row>
    <row r="57">
      <c r="A57" s="256" t="s">
        <v>93</v>
      </c>
    </row>
    <row r="58">
      <c r="A58" s="256" t="s">
        <v>94</v>
      </c>
    </row>
  </sheetData>
  <drawing r:id="rId1"/>
</worksheet>
</file>